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shue/Desktop/"/>
    </mc:Choice>
  </mc:AlternateContent>
  <xr:revisionPtr revIDLastSave="0" documentId="13_ncr:1_{EB43A720-5B49-5D45-95B3-54A01EED89F6}" xr6:coauthVersionLast="47" xr6:coauthVersionMax="47" xr10:uidLastSave="{00000000-0000-0000-0000-000000000000}"/>
  <bookViews>
    <workbookView xWindow="0" yWindow="0" windowWidth="28800" windowHeight="18000" activeTab="2" xr2:uid="{8B7907A8-4D60-2A45-813F-8E9169EB7D78}"/>
  </bookViews>
  <sheets>
    <sheet name="Stock Market Data" sheetId="1" r:id="rId1"/>
    <sheet name="Sheet2" sheetId="2" r:id="rId2"/>
    <sheet name="Sheet4" sheetId="4" r:id="rId3"/>
    <sheet name="Success - 2015-2019" sheetId="11" r:id="rId4"/>
    <sheet name="Regular - 2015-2019" sheetId="12" r:id="rId5"/>
    <sheet name="Small - 2015-2019" sheetId="13" r:id="rId6"/>
    <sheet name="Stock Market Data_cleaned" sheetId="6" r:id="rId7"/>
    <sheet name="Prepared" sheetId="8" r:id="rId8"/>
    <sheet name="Summary" sheetId="7" r:id="rId9"/>
    <sheet name="Sheet5" sheetId="5" r:id="rId10"/>
  </sheets>
  <definedNames>
    <definedName name="solver_adj" localSheetId="0" hidden="1">'Stock Market Data'!$AF$53:$AF$54</definedName>
    <definedName name="solver_adj" localSheetId="6" hidden="1">'Stock Market Data_cleaned'!#REF!</definedName>
    <definedName name="solver_cvg" localSheetId="0" hidden="1">0.0001</definedName>
    <definedName name="solver_cvg" localSheetId="6" hidden="1">0.0001</definedName>
    <definedName name="solver_drv" localSheetId="0" hidden="1">1</definedName>
    <definedName name="solver_drv" localSheetId="6" hidden="1">1</definedName>
    <definedName name="solver_eng" localSheetId="0" hidden="1">1</definedName>
    <definedName name="solver_eng" localSheetId="6" hidden="1">1</definedName>
    <definedName name="solver_itr" localSheetId="0" hidden="1">2147483647</definedName>
    <definedName name="solver_itr" localSheetId="6" hidden="1">2147483647</definedName>
    <definedName name="solver_lhs1" localSheetId="0" hidden="1">'Stock Market Data'!$AF$53</definedName>
    <definedName name="solver_lhs1" localSheetId="6" hidden="1">'Stock Market Data_cleaned'!#REF!</definedName>
    <definedName name="solver_lhs2" localSheetId="0" hidden="1">'Stock Market Data'!#REF!</definedName>
    <definedName name="solver_lhs2" localSheetId="6" hidden="1">'Stock Market Data_cleaned'!#REF!</definedName>
    <definedName name="solver_lhs3" localSheetId="0" hidden="1">'Stock Market Data'!$AF$54</definedName>
    <definedName name="solver_lhs3" localSheetId="6" hidden="1">'Stock Market Data_cleaned'!#REF!</definedName>
    <definedName name="solver_lhs4" localSheetId="0" hidden="1">'Stock Market Data'!$AF$55</definedName>
    <definedName name="solver_lhs4" localSheetId="6" hidden="1">'Stock Market Data_cleaned'!#REF!</definedName>
    <definedName name="solver_lin" localSheetId="0" hidden="1">2</definedName>
    <definedName name="solver_lin" localSheetId="6" hidden="1">2</definedName>
    <definedName name="solver_mip" localSheetId="0" hidden="1">2147483647</definedName>
    <definedName name="solver_mip" localSheetId="6" hidden="1">2147483647</definedName>
    <definedName name="solver_mni" localSheetId="0" hidden="1">30</definedName>
    <definedName name="solver_mni" localSheetId="6" hidden="1">30</definedName>
    <definedName name="solver_mrt" localSheetId="0" hidden="1">0.075</definedName>
    <definedName name="solver_mrt" localSheetId="6" hidden="1">0.075</definedName>
    <definedName name="solver_msl" localSheetId="0" hidden="1">2</definedName>
    <definedName name="solver_msl" localSheetId="6" hidden="1">2</definedName>
    <definedName name="solver_neg" localSheetId="0" hidden="1">1</definedName>
    <definedName name="solver_neg" localSheetId="6" hidden="1">1</definedName>
    <definedName name="solver_nod" localSheetId="0" hidden="1">2147483647</definedName>
    <definedName name="solver_nod" localSheetId="6" hidden="1">2147483647</definedName>
    <definedName name="solver_num" localSheetId="0" hidden="1">4</definedName>
    <definedName name="solver_num" localSheetId="6" hidden="1">4</definedName>
    <definedName name="solver_opt" localSheetId="0" hidden="1">'Stock Market Data'!$AF$57</definedName>
    <definedName name="solver_opt" localSheetId="6" hidden="1">'Stock Market Data_cleaned'!#REF!</definedName>
    <definedName name="solver_pre" localSheetId="0" hidden="1">0.000001</definedName>
    <definedName name="solver_pre" localSheetId="6" hidden="1">0.000001</definedName>
    <definedName name="solver_rbv" localSheetId="0" hidden="1">1</definedName>
    <definedName name="solver_rbv" localSheetId="6" hidden="1">1</definedName>
    <definedName name="solver_rel1" localSheetId="0" hidden="1">3</definedName>
    <definedName name="solver_rel1" localSheetId="6" hidden="1">3</definedName>
    <definedName name="solver_rel2" localSheetId="0" hidden="1">3</definedName>
    <definedName name="solver_rel2" localSheetId="6" hidden="1">3</definedName>
    <definedName name="solver_rel3" localSheetId="0" hidden="1">3</definedName>
    <definedName name="solver_rel3" localSheetId="6" hidden="1">3</definedName>
    <definedName name="solver_rel4" localSheetId="0" hidden="1">2</definedName>
    <definedName name="solver_rel4" localSheetId="6" hidden="1">2</definedName>
    <definedName name="solver_rhs1" localSheetId="0" hidden="1">0</definedName>
    <definedName name="solver_rhs1" localSheetId="6" hidden="1">0</definedName>
    <definedName name="solver_rhs2" localSheetId="0" hidden="1">0</definedName>
    <definedName name="solver_rhs2" localSheetId="6" hidden="1">0</definedName>
    <definedName name="solver_rhs3" localSheetId="0" hidden="1">0</definedName>
    <definedName name="solver_rhs3" localSheetId="6" hidden="1">0</definedName>
    <definedName name="solver_rhs4" localSheetId="0" hidden="1">1</definedName>
    <definedName name="solver_rhs4" localSheetId="6" hidden="1">1</definedName>
    <definedName name="solver_rlx" localSheetId="0" hidden="1">2</definedName>
    <definedName name="solver_rlx" localSheetId="6" hidden="1">2</definedName>
    <definedName name="solver_rsd" localSheetId="0" hidden="1">0</definedName>
    <definedName name="solver_rsd" localSheetId="6" hidden="1">0</definedName>
    <definedName name="solver_scl" localSheetId="0" hidden="1">1</definedName>
    <definedName name="solver_scl" localSheetId="6" hidden="1">1</definedName>
    <definedName name="solver_sho" localSheetId="0" hidden="1">2</definedName>
    <definedName name="solver_sho" localSheetId="6" hidden="1">2</definedName>
    <definedName name="solver_ssz" localSheetId="0" hidden="1">100</definedName>
    <definedName name="solver_ssz" localSheetId="6" hidden="1">100</definedName>
    <definedName name="solver_tim" localSheetId="0" hidden="1">2147483647</definedName>
    <definedName name="solver_tim" localSheetId="6" hidden="1">2147483647</definedName>
    <definedName name="solver_tol" localSheetId="0" hidden="1">0.01</definedName>
    <definedName name="solver_tol" localSheetId="6" hidden="1">0.01</definedName>
    <definedName name="solver_typ" localSheetId="0" hidden="1">2</definedName>
    <definedName name="solver_typ" localSheetId="6" hidden="1">2</definedName>
    <definedName name="solver_val" localSheetId="0" hidden="1">0</definedName>
    <definedName name="solver_val" localSheetId="6" hidden="1">0</definedName>
    <definedName name="solver_ver" localSheetId="0" hidden="1">2</definedName>
    <definedName name="solver_ver" localSheetId="6" hidden="1">2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4" i="11" l="1"/>
  <c r="L2" i="11"/>
  <c r="K64" i="1"/>
  <c r="J100" i="1" s="1"/>
  <c r="K2" i="1"/>
  <c r="O98" i="13" a="1"/>
  <c r="O98" i="13" s="1"/>
  <c r="O99" i="13" s="1"/>
  <c r="Q68" i="11"/>
  <c r="P68" i="11"/>
  <c r="O68" i="11"/>
  <c r="N68" i="11"/>
  <c r="M68" i="11"/>
  <c r="L68" i="11"/>
  <c r="R67" i="4"/>
  <c r="Q67" i="4"/>
  <c r="P67" i="4"/>
  <c r="O67" i="4"/>
  <c r="N67" i="4"/>
  <c r="M67" i="4"/>
  <c r="K68" i="1"/>
  <c r="M86" i="1"/>
  <c r="K83" i="1" a="1"/>
  <c r="K83" i="1" s="1"/>
  <c r="K78" i="1" a="1"/>
  <c r="K78" i="1" s="1"/>
  <c r="K91" i="1" s="1"/>
  <c r="P68" i="1"/>
  <c r="O68" i="1"/>
  <c r="N68" i="1"/>
  <c r="M68" i="1"/>
  <c r="L68" i="1"/>
  <c r="L101" i="13"/>
  <c r="L100" i="13"/>
  <c r="L99" i="13"/>
  <c r="L98" i="13"/>
  <c r="K100" i="12"/>
  <c r="K97" i="13"/>
  <c r="M94" i="13"/>
  <c r="M93" i="13"/>
  <c r="M92" i="13"/>
  <c r="K92" i="13"/>
  <c r="K91" i="13"/>
  <c r="K90" i="13"/>
  <c r="K89" i="13"/>
  <c r="M87" i="13"/>
  <c r="M86" i="13"/>
  <c r="M85" i="13"/>
  <c r="K82" i="13" a="1"/>
  <c r="K82" i="13" s="1"/>
  <c r="K77" i="13" a="1"/>
  <c r="K77" i="13" s="1"/>
  <c r="P68" i="13"/>
  <c r="N68" i="13"/>
  <c r="O68" i="13"/>
  <c r="M68" i="13"/>
  <c r="L68" i="13"/>
  <c r="K68" i="13"/>
  <c r="M66" i="13"/>
  <c r="L66" i="13"/>
  <c r="K66" i="13"/>
  <c r="M64" i="13"/>
  <c r="L64" i="13"/>
  <c r="K64" i="13"/>
  <c r="M59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L2" i="13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M2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60" i="13"/>
  <c r="M61" i="13"/>
  <c r="K2" i="13"/>
  <c r="Q67" i="2"/>
  <c r="P67" i="2"/>
  <c r="O67" i="2"/>
  <c r="N67" i="2"/>
  <c r="M67" i="2"/>
  <c r="L67" i="2"/>
  <c r="O70" i="12"/>
  <c r="N70" i="12"/>
  <c r="M70" i="12"/>
  <c r="K70" i="12"/>
  <c r="P70" i="12"/>
  <c r="L70" i="12"/>
  <c r="K84" i="12" a="1"/>
  <c r="K84" i="12" s="1"/>
  <c r="M87" i="12" s="1"/>
  <c r="K79" i="12" a="1"/>
  <c r="K79" i="12" s="1"/>
  <c r="K91" i="12" s="1"/>
  <c r="L77" i="11" a="1"/>
  <c r="L77" i="11" s="1"/>
  <c r="L88" i="11" s="1"/>
  <c r="M68" i="12"/>
  <c r="L68" i="12"/>
  <c r="K68" i="12"/>
  <c r="M66" i="12"/>
  <c r="L66" i="12"/>
  <c r="K66" i="12"/>
  <c r="K6" i="12"/>
  <c r="K5" i="12"/>
  <c r="K4" i="12"/>
  <c r="K3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L2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M2" i="12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K2" i="12"/>
  <c r="L81" i="11" a="1"/>
  <c r="L81" i="11" s="1"/>
  <c r="N84" i="11" s="1"/>
  <c r="N66" i="11"/>
  <c r="M66" i="11"/>
  <c r="L66" i="11"/>
  <c r="K66" i="1"/>
  <c r="N64" i="11"/>
  <c r="M64" i="11"/>
  <c r="M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N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89" i="11" l="1"/>
  <c r="L90" i="11"/>
  <c r="L91" i="11" s="1"/>
  <c r="N94" i="11" s="1"/>
  <c r="L99" i="11" s="1"/>
  <c r="N86" i="11"/>
  <c r="N85" i="11"/>
  <c r="K93" i="1"/>
  <c r="K92" i="1"/>
  <c r="M88" i="12"/>
  <c r="M89" i="12"/>
  <c r="K92" i="12"/>
  <c r="K93" i="12"/>
  <c r="N93" i="11" l="1"/>
  <c r="L98" i="11" s="1"/>
  <c r="N92" i="11"/>
  <c r="O97" i="11" s="1" a="1"/>
  <c r="O97" i="11" s="1"/>
  <c r="O98" i="11" s="1"/>
  <c r="K94" i="12"/>
  <c r="M95" i="12" s="1"/>
  <c r="K3" i="1"/>
  <c r="L97" i="11" l="1"/>
  <c r="L100" i="11" s="1"/>
  <c r="K101" i="11"/>
  <c r="M96" i="12"/>
  <c r="L102" i="12" s="1"/>
  <c r="M97" i="12"/>
  <c r="L103" i="12" s="1"/>
  <c r="L101" i="12"/>
  <c r="L104" i="12" s="1"/>
  <c r="O101" i="12" a="1"/>
  <c r="O101" i="12" s="1"/>
  <c r="O102" i="12" s="1"/>
  <c r="L2" i="2"/>
  <c r="P128" i="5"/>
  <c r="P127" i="5" a="1"/>
  <c r="P127" i="5" s="1"/>
  <c r="N136" i="5"/>
  <c r="N135" i="5"/>
  <c r="N134" i="5"/>
  <c r="N133" i="5"/>
  <c r="N132" i="5"/>
  <c r="N131" i="5"/>
  <c r="N130" i="5"/>
  <c r="N129" i="5"/>
  <c r="M127" i="5"/>
  <c r="N128" i="5"/>
  <c r="O121" i="5"/>
  <c r="O124" i="5"/>
  <c r="O123" i="5"/>
  <c r="O122" i="5"/>
  <c r="O120" i="5"/>
  <c r="O119" i="5"/>
  <c r="O118" i="5"/>
  <c r="O117" i="5"/>
  <c r="O116" i="5"/>
  <c r="O115" i="5"/>
  <c r="M113" i="5"/>
  <c r="M112" i="5"/>
  <c r="M111" i="5"/>
  <c r="M110" i="5"/>
  <c r="M109" i="5"/>
  <c r="M108" i="5"/>
  <c r="M107" i="5"/>
  <c r="M106" i="5"/>
  <c r="M105" i="5"/>
  <c r="M104" i="5"/>
  <c r="M92" i="5" a="1"/>
  <c r="M92" i="5" s="1"/>
  <c r="R74" i="5"/>
  <c r="Q74" i="5"/>
  <c r="P74" i="5"/>
  <c r="O74" i="5"/>
  <c r="N74" i="5"/>
  <c r="M74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Y68" i="5"/>
  <c r="X68" i="5"/>
  <c r="W68" i="5"/>
  <c r="V68" i="5"/>
  <c r="U68" i="5"/>
  <c r="T68" i="5"/>
  <c r="S68" i="5"/>
  <c r="R84" i="5"/>
  <c r="R68" i="5"/>
  <c r="Q83" i="5"/>
  <c r="Q68" i="5"/>
  <c r="P82" i="5"/>
  <c r="P68" i="5"/>
  <c r="O81" i="5"/>
  <c r="O68" i="5"/>
  <c r="N68" i="5"/>
  <c r="M79" i="5"/>
  <c r="M68" i="5"/>
  <c r="U66" i="5"/>
  <c r="T66" i="5"/>
  <c r="S66" i="5"/>
  <c r="R66" i="5"/>
  <c r="Q66" i="5"/>
  <c r="P66" i="5"/>
  <c r="O66" i="5"/>
  <c r="N66" i="5"/>
  <c r="M66" i="5"/>
  <c r="U64" i="5"/>
  <c r="T64" i="5"/>
  <c r="S64" i="5"/>
  <c r="R64" i="5"/>
  <c r="Q64" i="5"/>
  <c r="P64" i="5"/>
  <c r="O64" i="5"/>
  <c r="N64" i="5"/>
  <c r="M64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R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S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T2" i="5"/>
  <c r="T3" i="5"/>
  <c r="T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U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M3" i="5"/>
  <c r="M2" i="5"/>
  <c r="AE47" i="1" a="1"/>
  <c r="AE47" i="1" s="1"/>
  <c r="AF52" i="1" s="1"/>
  <c r="L66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3" i="1"/>
  <c r="M2" i="1"/>
  <c r="M64" i="1" s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3" i="1"/>
  <c r="L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M83" i="4" a="1"/>
  <c r="M83" i="4" s="1"/>
  <c r="O86" i="4" s="1"/>
  <c r="N81" i="2" a="1"/>
  <c r="N81" i="2" s="1"/>
  <c r="O85" i="2" s="1"/>
  <c r="M78" i="4" a="1"/>
  <c r="M78" i="4" s="1"/>
  <c r="M91" i="4" s="1"/>
  <c r="O65" i="4"/>
  <c r="N65" i="4"/>
  <c r="M65" i="4"/>
  <c r="O63" i="4"/>
  <c r="N63" i="4"/>
  <c r="M6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3" i="4"/>
  <c r="O2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3" i="4"/>
  <c r="N2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3" i="4"/>
  <c r="M2" i="4"/>
  <c r="V65" i="2"/>
  <c r="U65" i="2"/>
  <c r="V64" i="2"/>
  <c r="U64" i="2"/>
  <c r="L77" i="2" a="1"/>
  <c r="L77" i="2" s="1"/>
  <c r="L90" i="2" s="1"/>
  <c r="AC43" i="1" a="1"/>
  <c r="AC43" i="1" s="1"/>
  <c r="AC60" i="1" s="1"/>
  <c r="N65" i="2"/>
  <c r="M65" i="2"/>
  <c r="N63" i="2"/>
  <c r="M63" i="2"/>
  <c r="N60" i="2"/>
  <c r="M60" i="2"/>
  <c r="L60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3" i="2"/>
  <c r="N2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3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U49" i="1"/>
  <c r="U46" i="1"/>
  <c r="AA51" i="1"/>
  <c r="Z51" i="1"/>
  <c r="Y51" i="1"/>
  <c r="W51" i="1"/>
  <c r="V51" i="1"/>
  <c r="U51" i="1"/>
  <c r="W49" i="1"/>
  <c r="AG40" i="1" s="1"/>
  <c r="V49" i="1"/>
  <c r="W46" i="1"/>
  <c r="V46" i="1"/>
  <c r="N103" i="4" l="1"/>
  <c r="M92" i="4"/>
  <c r="O87" i="4"/>
  <c r="N104" i="4" s="1"/>
  <c r="O88" i="4"/>
  <c r="N105" i="4" s="1"/>
  <c r="M93" i="4"/>
  <c r="L91" i="2"/>
  <c r="L92" i="2"/>
  <c r="M87" i="1"/>
  <c r="L64" i="1"/>
  <c r="M88" i="1"/>
  <c r="M89" i="1" s="1"/>
  <c r="M66" i="1"/>
  <c r="L63" i="2"/>
  <c r="L65" i="2"/>
  <c r="T63" i="2" s="1"/>
  <c r="AE40" i="1"/>
  <c r="AC61" i="1"/>
  <c r="AG39" i="1"/>
  <c r="AC62" i="1"/>
  <c r="O87" i="2"/>
  <c r="M103" i="2" s="1"/>
  <c r="O86" i="2"/>
  <c r="M102" i="2" s="1"/>
  <c r="V60" i="1"/>
  <c r="AF53" i="1"/>
  <c r="V61" i="1" s="1"/>
  <c r="AF54" i="1"/>
  <c r="V62" i="1" s="1"/>
  <c r="AE39" i="1"/>
  <c r="AE38" i="1"/>
  <c r="AF38" i="1"/>
  <c r="AF40" i="1"/>
  <c r="AF39" i="1"/>
  <c r="AG38" i="1"/>
  <c r="M94" i="4" l="1"/>
  <c r="O95" i="4" s="1"/>
  <c r="N106" i="4"/>
  <c r="M102" i="4"/>
  <c r="O89" i="4"/>
  <c r="L93" i="2"/>
  <c r="N95" i="2" s="1"/>
  <c r="N96" i="2"/>
  <c r="L100" i="2"/>
  <c r="K94" i="1"/>
  <c r="M95" i="1" s="1"/>
  <c r="U58" i="1"/>
  <c r="X58" i="1" a="1"/>
  <c r="X58" i="1" s="1"/>
  <c r="X59" i="1" s="1"/>
  <c r="U63" i="2"/>
  <c r="T65" i="2"/>
  <c r="T64" i="2"/>
  <c r="V63" i="2"/>
  <c r="M101" i="2"/>
  <c r="AC63" i="1"/>
  <c r="AE65" i="1" s="1"/>
  <c r="O88" i="2"/>
  <c r="AF55" i="1"/>
  <c r="O97" i="4" l="1"/>
  <c r="O96" i="4"/>
  <c r="Q103" i="4" s="1" a="1"/>
  <c r="Q103" i="4" s="1"/>
  <c r="Q104" i="4" s="1"/>
  <c r="O98" i="4"/>
  <c r="N94" i="2"/>
  <c r="N97" i="2"/>
  <c r="P101" i="2" a="1"/>
  <c r="P101" i="2" s="1"/>
  <c r="P102" i="2" s="1"/>
  <c r="M96" i="1"/>
  <c r="K102" i="1" s="1"/>
  <c r="M97" i="1"/>
  <c r="K103" i="1" s="1"/>
  <c r="N101" i="1" a="1"/>
  <c r="N101" i="1" s="1"/>
  <c r="N102" i="1" s="1"/>
  <c r="K101" i="1"/>
  <c r="K104" i="1"/>
  <c r="AE64" i="1"/>
  <c r="AE6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<sst xmlns="http://schemas.openxmlformats.org/spreadsheetml/2006/main" count="1628" uniqueCount="89">
  <si>
    <t>Mean</t>
  </si>
  <si>
    <t>Std. Dev.</t>
  </si>
  <si>
    <t>Covariance</t>
  </si>
  <si>
    <t>Expected Return of your MVP</t>
  </si>
  <si>
    <t>Inverted Covariance Matrix</t>
  </si>
  <si>
    <t xml:space="preserve">Covariance </t>
  </si>
  <si>
    <t>Correlation</t>
  </si>
  <si>
    <t>Date</t>
  </si>
  <si>
    <t>Open</t>
  </si>
  <si>
    <t>High</t>
  </si>
  <si>
    <t>Low</t>
  </si>
  <si>
    <t>Close </t>
  </si>
  <si>
    <t>Adj Close </t>
  </si>
  <si>
    <t>Volume</t>
  </si>
  <si>
    <t>FITB</t>
  </si>
  <si>
    <t>CMA</t>
  </si>
  <si>
    <t>TFC</t>
  </si>
  <si>
    <t>WAL</t>
  </si>
  <si>
    <t>ZION</t>
  </si>
  <si>
    <t>FHN</t>
  </si>
  <si>
    <t>Expected Return</t>
  </si>
  <si>
    <t>JPM</t>
  </si>
  <si>
    <t>BOA</t>
  </si>
  <si>
    <t>WFC</t>
  </si>
  <si>
    <t>Covariance Matrix</t>
  </si>
  <si>
    <t>1;1</t>
  </si>
  <si>
    <t>2;2</t>
  </si>
  <si>
    <t>3;3</t>
  </si>
  <si>
    <t>4;4</t>
  </si>
  <si>
    <t>5;5</t>
  </si>
  <si>
    <t>6;6</t>
  </si>
  <si>
    <t>7;7</t>
  </si>
  <si>
    <t>8;8</t>
  </si>
  <si>
    <t>9;9</t>
  </si>
  <si>
    <t>1;2</t>
  </si>
  <si>
    <t>1;3</t>
  </si>
  <si>
    <t>1;4</t>
  </si>
  <si>
    <t>1;5</t>
  </si>
  <si>
    <t>1;6</t>
  </si>
  <si>
    <t>1;7</t>
  </si>
  <si>
    <t>1;8</t>
  </si>
  <si>
    <t>1;9</t>
  </si>
  <si>
    <t>2;3</t>
  </si>
  <si>
    <t>2;4</t>
  </si>
  <si>
    <t>2;5</t>
  </si>
  <si>
    <t>2;6</t>
  </si>
  <si>
    <t>2;7</t>
  </si>
  <si>
    <t>2;8</t>
  </si>
  <si>
    <t>2;9</t>
  </si>
  <si>
    <t>3;4</t>
  </si>
  <si>
    <t>3;5</t>
  </si>
  <si>
    <t>3;6</t>
  </si>
  <si>
    <t>3;7</t>
  </si>
  <si>
    <t>3;8</t>
  </si>
  <si>
    <t>3;9</t>
  </si>
  <si>
    <t>4;5</t>
  </si>
  <si>
    <t>4;6</t>
  </si>
  <si>
    <t>4;7</t>
  </si>
  <si>
    <t>4;8</t>
  </si>
  <si>
    <t>4;9</t>
  </si>
  <si>
    <t>5;6</t>
  </si>
  <si>
    <t>5;7</t>
  </si>
  <si>
    <t>5;8</t>
  </si>
  <si>
    <t>5;9</t>
  </si>
  <si>
    <t>6;7</t>
  </si>
  <si>
    <t>6;8</t>
  </si>
  <si>
    <t>6;9</t>
  </si>
  <si>
    <t>7;8</t>
  </si>
  <si>
    <t>7;9</t>
  </si>
  <si>
    <t>8;9</t>
  </si>
  <si>
    <t>Bank</t>
  </si>
  <si>
    <t>JP Morgan</t>
  </si>
  <si>
    <t>BoA</t>
  </si>
  <si>
    <t>WellsFargo</t>
  </si>
  <si>
    <t>Row Labels</t>
  </si>
  <si>
    <t>Grand Total</t>
  </si>
  <si>
    <t>Count of Bank</t>
  </si>
  <si>
    <t>Average of Low</t>
  </si>
  <si>
    <t>Average of High</t>
  </si>
  <si>
    <t>Average of Adj Close </t>
  </si>
  <si>
    <t>Rating</t>
  </si>
  <si>
    <t>Success</t>
  </si>
  <si>
    <t>Regular</t>
  </si>
  <si>
    <t>Small</t>
  </si>
  <si>
    <t>Ticker</t>
  </si>
  <si>
    <t>Adj Close</t>
  </si>
  <si>
    <t>Weights</t>
  </si>
  <si>
    <t>Variance</t>
  </si>
  <si>
    <t>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</si>
</sst>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rgb="FF232A31"/>
      <name val="Arial"/>
      <family val="2"/>
    </font>
    <font>
      <sz val="14"/>
      <color rgb="FF232A31"/>
      <name val="Arial"/>
      <family val="2"/>
    </font>
    <font>
      <sz val="12"/>
      <color theme="1"/>
      <name val="Arial"/>
      <family val="2"/>
    </font>
    <font>
      <sz val="12"/>
      <color rgb="FF000000"/>
      <name val="Aptos Narrow"/>
      <family val="2"/>
      <scheme val="minor"/>
    </font>
    <font>
      <sz val="9"/>
      <color theme="1"/>
      <name val="Helvetica"/>
      <family val="2"/>
    </font>
    <font>
      <sz val="14"/>
      <color rgb="FF111827"/>
      <name val="Arial"/>
      <family val="2"/>
    </font>
    <font>
      <sz val="12"/>
      <color theme="1"/>
      <name val="Helvetica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" fontId="0" fillId="0" borderId="0" xfId="0" applyNumberFormat="1"/>
    <xf numFmtId="10" fontId="0" fillId="0" borderId="0" xfId="0" applyNumberFormat="1"/>
    <xf numFmtId="20" fontId="0" fillId="0" borderId="0" xfId="0" applyNumberFormat="1"/>
    <xf numFmtId="0" fontId="1" fillId="0" borderId="0" xfId="0" applyFont="1"/>
    <xf numFmtId="15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15" fontId="3" fillId="0" borderId="0" xfId="0" applyNumberFormat="1" applyFont="1"/>
    <xf numFmtId="3" fontId="3" fillId="0" borderId="0" xfId="0" applyNumberFormat="1" applyFont="1"/>
    <xf numFmtId="0" fontId="4" fillId="0" borderId="0" xfId="0" applyFon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6" fillId="0" borderId="0" xfId="0" applyFont="1"/>
    <xf numFmtId="3" fontId="6" fillId="0" borderId="0" xfId="0" applyNumberFormat="1" applyFont="1"/>
    <xf numFmtId="0" fontId="7" fillId="0" borderId="0" xfId="0" applyFont="1"/>
    <xf numFmtId="0" fontId="8" fillId="0" borderId="0" xfId="0" applyFont="1"/>
    <xf numFmtId="15" fontId="8" fillId="0" borderId="0" xfId="0" applyNumberFormat="1" applyFont="1"/>
    <xf numFmtId="3" fontId="8" fillId="0" borderId="0" xfId="0" applyNumberFormat="1" applyFont="1"/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81.556553587965" createdVersion="8" refreshedVersion="8" minRefreshableVersion="3" recordCount="195" xr:uid="{8357DDD5-EEC9-3A4A-89BD-906C5D757940}">
  <cacheSource type="worksheet">
    <worksheetSource ref="A1:H1048576" sheet="Stock Market Data_cleaned"/>
  </cacheSource>
  <cacheFields count="8">
    <cacheField name="Date" numFmtId="0">
      <sharedItems containsNonDate="0" containsDate="1" containsString="0" containsBlank="1" minDate="2020-12-01T00:00:00" maxDate="2025-11-02T00:00:00"/>
    </cacheField>
    <cacheField name="Open" numFmtId="0">
      <sharedItems containsString="0" containsBlank="1" containsNumber="1" minValue="26.44" maxValue="313.97000000000003"/>
    </cacheField>
    <cacheField name="High" numFmtId="0">
      <sharedItems containsString="0" containsBlank="1" containsNumber="1" minValue="28.04" maxValue="322.25"/>
    </cacheField>
    <cacheField name="Low" numFmtId="0">
      <sharedItems containsString="0" containsBlank="1" containsNumber="1" minValue="24.96" maxValue="301.23"/>
    </cacheField>
    <cacheField name="Close " numFmtId="0">
      <sharedItems containsString="0" containsBlank="1" containsNumber="1" minValue="26.34" maxValue="315.43"/>
    </cacheField>
    <cacheField name="Adj Close " numFmtId="0">
      <sharedItems containsString="0" containsBlank="1" containsNumber="1" minValue="25.04" maxValue="313.89999999999998"/>
    </cacheField>
    <cacheField name="Volume" numFmtId="0">
      <sharedItems containsString="0" containsBlank="1" containsNumber="1" containsInteger="1" minValue="76928700" maxValue="2061004500"/>
    </cacheField>
    <cacheField name="Bank" numFmtId="0">
      <sharedItems containsBlank="1" count="4">
        <s v="JP Morgan"/>
        <s v="BoA"/>
        <s v="WellsFarg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d v="2025-11-01T00:00:00"/>
    <n v="311"/>
    <n v="322.25"/>
    <n v="301.23"/>
    <n v="303.61"/>
    <n v="303.61"/>
    <n v="76928700"/>
    <x v="0"/>
  </r>
  <r>
    <d v="2025-10-01T00:00:00"/>
    <n v="313.97000000000003"/>
    <n v="314.58999999999997"/>
    <n v="290.54000000000002"/>
    <n v="311.12"/>
    <n v="309.61"/>
    <n v="189429800"/>
    <x v="0"/>
  </r>
  <r>
    <d v="2025-09-01T00:00:00"/>
    <n v="300.26"/>
    <n v="318.01"/>
    <n v="291.44"/>
    <n v="315.43"/>
    <n v="313.89999999999998"/>
    <n v="182562300"/>
    <x v="0"/>
  </r>
  <r>
    <d v="2025-08-01T00:00:00"/>
    <n v="290.39999999999998"/>
    <n v="302.95"/>
    <n v="284.24"/>
    <n v="301.42"/>
    <n v="299.95999999999998"/>
    <n v="148828400"/>
    <x v="0"/>
  </r>
  <r>
    <d v="2025-07-01T00:00:00"/>
    <n v="290.89"/>
    <n v="301.29000000000002"/>
    <n v="280.31"/>
    <n v="296.24"/>
    <n v="293.39"/>
    <n v="198593200"/>
    <x v="0"/>
  </r>
  <r>
    <d v="2025-06-01T00:00:00"/>
    <n v="263.02"/>
    <n v="292.64999999999998"/>
    <n v="260.31"/>
    <n v="289.91000000000003"/>
    <n v="287.12"/>
    <n v="174361400"/>
    <x v="0"/>
  </r>
  <r>
    <d v="2025-05-01T00:00:00"/>
    <n v="242.84"/>
    <n v="269.52"/>
    <n v="242.17"/>
    <n v="264"/>
    <n v="261.45999999999998"/>
    <n v="165122600"/>
    <x v="0"/>
  </r>
  <r>
    <d v="2025-04-01T00:00:00"/>
    <n v="242.62"/>
    <n v="247.25"/>
    <n v="202.16"/>
    <n v="244.62"/>
    <n v="240.79"/>
    <n v="287378000"/>
    <x v="0"/>
  </r>
  <r>
    <d v="2025-03-01T00:00:00"/>
    <n v="264"/>
    <n v="266.32"/>
    <n v="224.23"/>
    <n v="245.3"/>
    <n v="241.46"/>
    <n v="265181900"/>
    <x v="0"/>
  </r>
  <r>
    <d v="2025-02-01T00:00:00"/>
    <n v="261.83"/>
    <n v="280.25"/>
    <n v="253.35"/>
    <n v="264.64999999999998"/>
    <n v="260.5"/>
    <n v="156634700"/>
    <x v="0"/>
  </r>
  <r>
    <d v="2025-01-01T00:00:00"/>
    <n v="240.92"/>
    <n v="270.82"/>
    <n v="238.74"/>
    <n v="267.3"/>
    <n v="261.76"/>
    <n v="209826800"/>
    <x v="0"/>
  </r>
  <r>
    <d v="2024-12-01T00:00:00"/>
    <n v="249.55"/>
    <n v="250.25"/>
    <n v="229.53"/>
    <n v="239.71"/>
    <n v="234.74"/>
    <n v="181266200"/>
    <x v="0"/>
  </r>
  <r>
    <d v="2024-11-01T00:00:00"/>
    <n v="223.56"/>
    <n v="254.31"/>
    <n v="219.17"/>
    <n v="249.72"/>
    <n v="244.54"/>
    <n v="188851300"/>
    <x v="0"/>
  </r>
  <r>
    <d v="2024-10-01T00:00:00"/>
    <n v="208.9"/>
    <n v="226.75"/>
    <n v="204.34"/>
    <n v="221.92"/>
    <n v="216"/>
    <n v="178337400"/>
    <x v="0"/>
  </r>
  <r>
    <d v="2024-09-01T00:00:00"/>
    <n v="222.3"/>
    <n v="224.1"/>
    <n v="200.61"/>
    <n v="210.86"/>
    <n v="205.23"/>
    <n v="206487600"/>
    <x v="0"/>
  </r>
  <r>
    <d v="2024-08-01T00:00:00"/>
    <n v="213.2"/>
    <n v="225.48"/>
    <n v="190.9"/>
    <n v="224.8"/>
    <n v="218.8"/>
    <n v="172435900"/>
    <x v="0"/>
  </r>
  <r>
    <d v="2024-07-01T00:00:00"/>
    <n v="202.84"/>
    <n v="217.56"/>
    <n v="202.1"/>
    <n v="212.8"/>
    <n v="205.98"/>
    <n v="197445800"/>
    <x v="0"/>
  </r>
  <r>
    <d v="2024-06-01T00:00:00"/>
    <n v="202.31"/>
    <n v="202.6"/>
    <n v="190.88"/>
    <n v="202.26"/>
    <n v="195.78"/>
    <n v="174847900"/>
    <x v="0"/>
  </r>
  <r>
    <d v="2024-05-01T00:00:00"/>
    <n v="192.27"/>
    <n v="205.88"/>
    <n v="188.46"/>
    <n v="202.63"/>
    <n v="196.13"/>
    <n v="195900400"/>
    <x v="0"/>
  </r>
  <r>
    <d v="2024-04-01T00:00:00"/>
    <n v="199.99"/>
    <n v="200.94"/>
    <n v="179.2"/>
    <n v="191.74"/>
    <n v="184.52"/>
    <n v="224749100"/>
    <x v="0"/>
  </r>
  <r>
    <d v="2024-03-01T00:00:00"/>
    <n v="185.7"/>
    <n v="200.72"/>
    <n v="184.27"/>
    <n v="200.3"/>
    <n v="192.75"/>
    <n v="166255900"/>
    <x v="0"/>
  </r>
  <r>
    <d v="2024-02-01T00:00:00"/>
    <n v="173.64"/>
    <n v="186.43"/>
    <n v="171.43"/>
    <n v="186.06"/>
    <n v="179.05"/>
    <n v="154730900"/>
    <x v="0"/>
  </r>
  <r>
    <d v="2024-01-01T00:00:00"/>
    <n v="169.09"/>
    <n v="178.3"/>
    <n v="164.3"/>
    <n v="174.36"/>
    <n v="166.76"/>
    <n v="231656800"/>
    <x v="0"/>
  </r>
  <r>
    <d v="2023-12-01T00:00:00"/>
    <n v="155.82"/>
    <n v="170.69"/>
    <n v="155.82"/>
    <n v="170.1"/>
    <n v="162.69"/>
    <n v="184769100"/>
    <x v="0"/>
  </r>
  <r>
    <d v="2023-11-01T00:00:00"/>
    <n v="139.25"/>
    <n v="156.13"/>
    <n v="138.47"/>
    <n v="156.08000000000001"/>
    <n v="149.28"/>
    <n v="162193400"/>
    <x v="0"/>
  </r>
  <r>
    <d v="2023-10-01T00:00:00"/>
    <n v="144.83000000000001"/>
    <n v="153.11000000000001"/>
    <n v="135.19"/>
    <n v="139.06"/>
    <n v="132.03"/>
    <n v="244013000"/>
    <x v="0"/>
  </r>
  <r>
    <d v="2023-09-01T00:00:00"/>
    <n v="146.09"/>
    <n v="150.25"/>
    <n v="142.65"/>
    <n v="145.02000000000001"/>
    <n v="137.69"/>
    <n v="172239300"/>
    <x v="0"/>
  </r>
  <r>
    <d v="2023-08-01T00:00:00"/>
    <n v="157.43"/>
    <n v="158"/>
    <n v="145.46"/>
    <n v="146.33000000000001"/>
    <n v="138.93"/>
    <n v="169299800"/>
    <x v="0"/>
  </r>
  <r>
    <d v="2023-07-01T00:00:00"/>
    <n v="146.19"/>
    <n v="159.38"/>
    <n v="141.44"/>
    <n v="157.96"/>
    <n v="148.94999999999999"/>
    <n v="231261000"/>
    <x v="0"/>
  </r>
  <r>
    <d v="2023-06-01T00:00:00"/>
    <n v="136.52000000000001"/>
    <n v="146"/>
    <n v="135.44999999999999"/>
    <n v="145.44"/>
    <n v="137.13999999999999"/>
    <n v="206562200"/>
    <x v="0"/>
  </r>
  <r>
    <d v="2023-05-01T00:00:00"/>
    <n v="142.26"/>
    <n v="143.37"/>
    <n v="131.81"/>
    <n v="135.71"/>
    <n v="127.97"/>
    <n v="235306100"/>
    <x v="0"/>
  </r>
  <r>
    <d v="2023-04-01T00:00:00"/>
    <n v="129.91"/>
    <n v="141.78"/>
    <n v="126.22"/>
    <n v="138.24"/>
    <n v="129.34"/>
    <n v="242865000"/>
    <x v="0"/>
  </r>
  <r>
    <d v="2023-03-01T00:00:00"/>
    <n v="142.1"/>
    <n v="144.04"/>
    <n v="123.11"/>
    <n v="130.31"/>
    <n v="121.92"/>
    <n v="458474400"/>
    <x v="0"/>
  </r>
  <r>
    <d v="2023-02-01T00:00:00"/>
    <n v="138.21"/>
    <n v="144.34"/>
    <n v="137.44"/>
    <n v="143.35"/>
    <n v="134.12"/>
    <n v="169562800"/>
    <x v="0"/>
  </r>
  <r>
    <d v="2023-01-01T00:00:00"/>
    <n v="135.24"/>
    <n v="143.49"/>
    <n v="133.55000000000001"/>
    <n v="139.96"/>
    <n v="129.99"/>
    <n v="209965200"/>
    <x v="0"/>
  </r>
  <r>
    <d v="2022-12-01T00:00:00"/>
    <n v="138.18"/>
    <n v="138.66"/>
    <n v="128.41"/>
    <n v="134.1"/>
    <n v="124.54"/>
    <n v="202046000"/>
    <x v="0"/>
  </r>
  <r>
    <d v="2022-11-01T00:00:00"/>
    <n v="126.87"/>
    <n v="138.18"/>
    <n v="125.91"/>
    <n v="138.18"/>
    <n v="128.33000000000001"/>
    <n v="227228500"/>
    <x v="0"/>
  </r>
  <r>
    <d v="2022-10-01T00:00:00"/>
    <n v="105.62"/>
    <n v="127.43"/>
    <n v="101.28"/>
    <n v="125.88"/>
    <n v="115.87"/>
    <n v="318197200"/>
    <x v="0"/>
  </r>
  <r>
    <d v="2022-09-01T00:00:00"/>
    <n v="113.29"/>
    <n v="121.55"/>
    <n v="104.4"/>
    <n v="104.5"/>
    <n v="96.19"/>
    <n v="248558100"/>
    <x v="0"/>
  </r>
  <r>
    <d v="2022-08-01T00:00:00"/>
    <n v="114.5"/>
    <n v="124.24"/>
    <n v="111.02"/>
    <n v="113.73"/>
    <n v="104.69"/>
    <n v="258430300"/>
    <x v="0"/>
  </r>
  <r>
    <d v="2022-07-01T00:00:00"/>
    <n v="112.65"/>
    <n v="116.5"/>
    <n v="106.06"/>
    <n v="115.36"/>
    <n v="105.26"/>
    <n v="239623100"/>
    <x v="0"/>
  </r>
  <r>
    <d v="2022-06-01T00:00:00"/>
    <n v="132.87"/>
    <n v="132.87"/>
    <n v="110.93"/>
    <n v="112.61"/>
    <n v="102.75"/>
    <n v="268201900"/>
    <x v="0"/>
  </r>
  <r>
    <d v="2022-05-01T00:00:00"/>
    <n v="119.88"/>
    <n v="133.15"/>
    <n v="115.02"/>
    <n v="132.22999999999999"/>
    <n v="120.65"/>
    <n v="313630400"/>
    <x v="0"/>
  </r>
  <r>
    <d v="2022-04-01T00:00:00"/>
    <n v="137.4"/>
    <n v="137.41"/>
    <n v="118.9"/>
    <n v="119.36"/>
    <n v="108.11"/>
    <n v="303650400"/>
    <x v="0"/>
  </r>
  <r>
    <d v="2022-03-01T00:00:00"/>
    <n v="140.04"/>
    <n v="143.93"/>
    <n v="127.27"/>
    <n v="136.32"/>
    <n v="123.47"/>
    <n v="390796800"/>
    <x v="0"/>
  </r>
  <r>
    <d v="2022-02-01T00:00:00"/>
    <n v="148.69"/>
    <n v="159.03"/>
    <n v="139.78"/>
    <n v="141.80000000000001"/>
    <n v="128.43"/>
    <n v="288730100"/>
    <x v="0"/>
  </r>
  <r>
    <d v="2022-01-01T00:00:00"/>
    <n v="159.86000000000001"/>
    <n v="169.81"/>
    <n v="139.57"/>
    <n v="148.6"/>
    <n v="133.79"/>
    <n v="373950200"/>
    <x v="0"/>
  </r>
  <r>
    <d v="2021-12-01T00:00:00"/>
    <n v="161"/>
    <n v="163.38999999999999"/>
    <n v="151.84"/>
    <n v="158.35"/>
    <n v="142.57"/>
    <n v="251966400"/>
    <x v="0"/>
  </r>
  <r>
    <d v="2021-11-01T00:00:00"/>
    <n v="172.04"/>
    <n v="172.33"/>
    <n v="158.29"/>
    <n v="158.83000000000001"/>
    <n v="143"/>
    <n v="203498400"/>
    <x v="0"/>
  </r>
  <r>
    <d v="2021-10-01T00:00:00"/>
    <n v="164"/>
    <n v="172.96"/>
    <n v="160.06"/>
    <n v="169.89"/>
    <n v="152.04"/>
    <n v="231680800"/>
    <x v="0"/>
  </r>
  <r>
    <d v="2021-09-01T00:00:00"/>
    <n v="160.22"/>
    <n v="169.3"/>
    <n v="150.49"/>
    <n v="163.69"/>
    <n v="146.49"/>
    <n v="234791100"/>
    <x v="0"/>
  </r>
  <r>
    <d v="2021-08-01T00:00:00"/>
    <n v="152.03"/>
    <n v="163.83000000000001"/>
    <n v="149.52000000000001"/>
    <n v="159.94999999999999"/>
    <n v="143.15"/>
    <n v="208085700"/>
    <x v="0"/>
  </r>
  <r>
    <d v="2021-07-01T00:00:00"/>
    <n v="156.26"/>
    <n v="159.16"/>
    <n v="145.71"/>
    <n v="151.78"/>
    <n v="135.06"/>
    <n v="280571500"/>
    <x v="0"/>
  </r>
  <r>
    <d v="2021-06-01T00:00:00"/>
    <n v="165.87"/>
    <n v="167.44"/>
    <n v="147.56"/>
    <n v="155.54"/>
    <n v="138.4"/>
    <n v="356723300"/>
    <x v="0"/>
  </r>
  <r>
    <d v="2021-05-01T00:00:00"/>
    <n v="154.85"/>
    <n v="165.7"/>
    <n v="152.13999999999999"/>
    <n v="164.24"/>
    <n v="146.13999999999999"/>
    <n v="248957700"/>
    <x v="0"/>
  </r>
  <r>
    <d v="2021-04-01T00:00:00"/>
    <n v="151.9"/>
    <n v="157.25"/>
    <n v="146.69"/>
    <n v="153.81"/>
    <n v="136.06"/>
    <n v="288694200"/>
    <x v="0"/>
  </r>
  <r>
    <d v="2021-03-01T00:00:00"/>
    <n v="149.52000000000001"/>
    <n v="161.69"/>
    <n v="147.97"/>
    <n v="152.22999999999999"/>
    <n v="134.66"/>
    <n v="399416900"/>
    <x v="0"/>
  </r>
  <r>
    <d v="2021-02-01T00:00:00"/>
    <n v="129.4"/>
    <n v="154.9"/>
    <n v="128.47999999999999"/>
    <n v="147.16999999999999"/>
    <n v="130.19"/>
    <n v="229245300"/>
    <x v="0"/>
  </r>
  <r>
    <d v="2021-01-01T00:00:00"/>
    <n v="127.5"/>
    <n v="142.75"/>
    <n v="123.77"/>
    <n v="128.66999999999999"/>
    <n v="113.01"/>
    <n v="318582400"/>
    <x v="0"/>
  </r>
  <r>
    <d v="2020-12-01T00:00:00"/>
    <n v="120.34"/>
    <n v="127.33"/>
    <n v="118.11"/>
    <n v="127.07"/>
    <n v="111.6"/>
    <n v="274143300"/>
    <x v="0"/>
  </r>
  <r>
    <d v="2025-11-01T00:00:00"/>
    <n v="53.26"/>
    <n v="54.69"/>
    <n v="51.74"/>
    <n v="52.61"/>
    <n v="52.61"/>
    <n v="387610300"/>
    <x v="1"/>
  </r>
  <r>
    <d v="2025-10-01T00:00:00"/>
    <n v="51.3"/>
    <n v="53.64"/>
    <n v="48.53"/>
    <n v="53.45"/>
    <n v="53.45"/>
    <n v="762970500"/>
    <x v="1"/>
  </r>
  <r>
    <d v="2025-09-01T00:00:00"/>
    <n v="50.22"/>
    <n v="52.88"/>
    <n v="48.88"/>
    <n v="51.59"/>
    <n v="51.3"/>
    <n v="754239800"/>
    <x v="1"/>
  </r>
  <r>
    <d v="2025-08-01T00:00:00"/>
    <n v="46.36"/>
    <n v="50.92"/>
    <n v="44.75"/>
    <n v="50.74"/>
    <n v="50.46"/>
    <n v="728384200"/>
    <x v="1"/>
  </r>
  <r>
    <d v="2025-07-01T00:00:00"/>
    <n v="47.02"/>
    <n v="49.31"/>
    <n v="45.01"/>
    <n v="47.27"/>
    <n v="47.01"/>
    <n v="906389900"/>
    <x v="1"/>
  </r>
  <r>
    <d v="2025-06-01T00:00:00"/>
    <n v="43.88"/>
    <n v="47.67"/>
    <n v="43.36"/>
    <n v="47.32"/>
    <n v="46.78"/>
    <n v="775768400"/>
    <x v="1"/>
  </r>
  <r>
    <d v="2025-05-01T00:00:00"/>
    <n v="39.82"/>
    <n v="45.14"/>
    <n v="39.58"/>
    <n v="44.13"/>
    <n v="43.63"/>
    <n v="822871900"/>
    <x v="1"/>
  </r>
  <r>
    <d v="2025-04-01T00:00:00"/>
    <n v="41.32"/>
    <n v="41.97"/>
    <n v="33.07"/>
    <n v="39.880000000000003"/>
    <n v="39.43"/>
    <n v="1359333800"/>
    <x v="1"/>
  </r>
  <r>
    <d v="2025-03-01T00:00:00"/>
    <n v="46.21"/>
    <n v="46.96"/>
    <n v="39.18"/>
    <n v="41.73"/>
    <n v="41"/>
    <n v="936464600"/>
    <x v="1"/>
  </r>
  <r>
    <d v="2025-02-01T00:00:00"/>
    <n v="45.42"/>
    <n v="47.98"/>
    <n v="43.35"/>
    <n v="46.1"/>
    <n v="45.29"/>
    <n v="650240100"/>
    <x v="1"/>
  </r>
  <r>
    <d v="2025-01-01T00:00:00"/>
    <n v="44.14"/>
    <n v="47.51"/>
    <n v="43.8"/>
    <n v="46.3"/>
    <n v="45.49"/>
    <n v="739447500"/>
    <x v="1"/>
  </r>
  <r>
    <d v="2024-12-01T00:00:00"/>
    <n v="47.74"/>
    <n v="47.82"/>
    <n v="42.78"/>
    <n v="43.95"/>
    <n v="42.94"/>
    <n v="652159200"/>
    <x v="1"/>
  </r>
  <r>
    <d v="2024-11-01T00:00:00"/>
    <n v="42.15"/>
    <n v="48.08"/>
    <n v="41.11"/>
    <n v="47.51"/>
    <n v="46.42"/>
    <n v="776323600"/>
    <x v="1"/>
  </r>
  <r>
    <d v="2024-10-01T00:00:00"/>
    <n v="39.51"/>
    <n v="43.36"/>
    <n v="38.729999999999997"/>
    <n v="41.82"/>
    <n v="40.86"/>
    <n v="722829900"/>
    <x v="1"/>
  </r>
  <r>
    <d v="2024-09-01T00:00:00"/>
    <n v="40.58"/>
    <n v="41.05"/>
    <n v="38.01"/>
    <n v="39.68"/>
    <n v="38.520000000000003"/>
    <n v="794903800"/>
    <x v="1"/>
  </r>
  <r>
    <d v="2024-08-01T00:00:00"/>
    <n v="40.44"/>
    <n v="40.86"/>
    <n v="35.14"/>
    <n v="40.75"/>
    <n v="39.56"/>
    <n v="894057800"/>
    <x v="1"/>
  </r>
  <r>
    <d v="2024-07-01T00:00:00"/>
    <n v="39.909999999999997"/>
    <n v="44.44"/>
    <n v="39.67"/>
    <n v="40.31"/>
    <n v="39.130000000000003"/>
    <n v="868095500"/>
    <x v="1"/>
  </r>
  <r>
    <d v="2024-06-01T00:00:00"/>
    <n v="40.04"/>
    <n v="40.340000000000003"/>
    <n v="38.340000000000003"/>
    <n v="39.770000000000003"/>
    <n v="38.369999999999997"/>
    <n v="696786300"/>
    <x v="1"/>
  </r>
  <r>
    <d v="2024-05-01T00:00:00"/>
    <n v="37.21"/>
    <n v="40.08"/>
    <n v="36.65"/>
    <n v="39.99"/>
    <n v="38.58"/>
    <n v="720885600"/>
    <x v="1"/>
  </r>
  <r>
    <d v="2024-04-01T00:00:00"/>
    <n v="37.94"/>
    <n v="38.49"/>
    <n v="34.15"/>
    <n v="37.01"/>
    <n v="35.71"/>
    <n v="904458100"/>
    <x v="1"/>
  </r>
  <r>
    <d v="2024-03-01T00:00:00"/>
    <n v="34.53"/>
    <n v="38"/>
    <n v="34.03"/>
    <n v="37.92"/>
    <n v="36.590000000000003"/>
    <n v="826724200"/>
    <x v="1"/>
  </r>
  <r>
    <d v="2024-02-01T00:00:00"/>
    <n v="33.93"/>
    <n v="34.65"/>
    <n v="32.35"/>
    <n v="34.520000000000003"/>
    <n v="33.07"/>
    <n v="748360100"/>
    <x v="1"/>
  </r>
  <r>
    <d v="2024-01-01T00:00:00"/>
    <n v="33.39"/>
    <n v="35.1"/>
    <n v="31.27"/>
    <n v="34.01"/>
    <n v="32.58"/>
    <n v="934161500"/>
    <x v="1"/>
  </r>
  <r>
    <d v="2023-12-01T00:00:00"/>
    <n v="30.4"/>
    <n v="34.07"/>
    <n v="30.33"/>
    <n v="33.67"/>
    <n v="32.26"/>
    <n v="863795100"/>
    <x v="1"/>
  </r>
  <r>
    <d v="2023-11-01T00:00:00"/>
    <n v="26.44"/>
    <n v="30.61"/>
    <n v="26.15"/>
    <n v="30.49"/>
    <n v="28.98"/>
    <n v="891085100"/>
    <x v="1"/>
  </r>
  <r>
    <d v="2023-10-01T00:00:00"/>
    <n v="27.27"/>
    <n v="28.04"/>
    <n v="24.96"/>
    <n v="26.34"/>
    <n v="25.04"/>
    <n v="1225398800"/>
    <x v="1"/>
  </r>
  <r>
    <d v="2023-09-01T00:00:00"/>
    <n v="28.76"/>
    <n v="29.44"/>
    <n v="27.01"/>
    <n v="27.38"/>
    <n v="26.02"/>
    <n v="777431200"/>
    <x v="1"/>
  </r>
  <r>
    <d v="2023-08-01T00:00:00"/>
    <n v="31.84"/>
    <n v="31.94"/>
    <n v="28.18"/>
    <n v="28.67"/>
    <n v="27.02"/>
    <n v="809814400"/>
    <x v="1"/>
  </r>
  <r>
    <d v="2023-07-01T00:00:00"/>
    <n v="28.7"/>
    <n v="32.85"/>
    <n v="28.1"/>
    <n v="32"/>
    <n v="30.16"/>
    <n v="968946700"/>
    <x v="1"/>
  </r>
  <r>
    <d v="2023-06-01T00:00:00"/>
    <n v="27.76"/>
    <n v="29.8"/>
    <n v="27.34"/>
    <n v="28.69"/>
    <n v="26.83"/>
    <n v="968664200"/>
    <x v="1"/>
  </r>
  <r>
    <d v="2023-05-01T00:00:00"/>
    <n v="29.5"/>
    <n v="29.54"/>
    <n v="26.83"/>
    <n v="27.79"/>
    <n v="25.99"/>
    <n v="1047826900"/>
    <x v="1"/>
  </r>
  <r>
    <d v="2023-04-01T00:00:00"/>
    <n v="28.64"/>
    <n v="30.93"/>
    <n v="27.46"/>
    <n v="29.28"/>
    <n v="27.38"/>
    <n v="1028255800"/>
    <x v="1"/>
  </r>
  <r>
    <d v="2023-03-01T00:00:00"/>
    <n v="34.15"/>
    <n v="34.56"/>
    <n v="26.32"/>
    <n v="28.6"/>
    <n v="26.57"/>
    <n v="2061004500"/>
    <x v="1"/>
  </r>
  <r>
    <d v="2023-02-01T00:00:00"/>
    <n v="35.200000000000003"/>
    <n v="37"/>
    <n v="33.840000000000003"/>
    <n v="34.299999999999997"/>
    <n v="31.87"/>
    <n v="616776700"/>
    <x v="1"/>
  </r>
  <r>
    <d v="2023-01-01T00:00:00"/>
    <n v="33.229999999999997"/>
    <n v="35.78"/>
    <n v="32.89"/>
    <n v="35.479999999999997"/>
    <n v="32.97"/>
    <n v="809281100"/>
    <x v="1"/>
  </r>
  <r>
    <d v="2022-12-01T00:00:00"/>
    <n v="37.5"/>
    <n v="37.69"/>
    <n v="31.35"/>
    <n v="33.119999999999997"/>
    <n v="30.59"/>
    <n v="893060200"/>
    <x v="1"/>
  </r>
  <r>
    <d v="2022-11-01T00:00:00"/>
    <n v="36.44"/>
    <n v="38.6"/>
    <n v="35.409999999999997"/>
    <n v="37.85"/>
    <n v="34.96"/>
    <n v="700345500"/>
    <x v="1"/>
  </r>
  <r>
    <d v="2022-10-01T00:00:00"/>
    <n v="30.59"/>
    <n v="36.369999999999997"/>
    <n v="29.31"/>
    <n v="36.04"/>
    <n v="33.29"/>
    <n v="980931500"/>
    <x v="1"/>
  </r>
  <r>
    <d v="2022-09-01T00:00:00"/>
    <n v="33.340000000000003"/>
    <n v="35.630000000000003"/>
    <n v="30.17"/>
    <n v="30.2"/>
    <n v="27.71"/>
    <n v="860183900"/>
    <x v="1"/>
  </r>
  <r>
    <d v="2022-08-01T00:00:00"/>
    <n v="33.619999999999997"/>
    <n v="36.94"/>
    <n v="33"/>
    <n v="33.61"/>
    <n v="30.84"/>
    <n v="819363100"/>
    <x v="1"/>
  </r>
  <r>
    <d v="2022-07-01T00:00:00"/>
    <n v="30.98"/>
    <n v="33.979999999999997"/>
    <n v="29.67"/>
    <n v="33.81"/>
    <n v="31.03"/>
    <n v="814208000"/>
    <x v="1"/>
  </r>
  <r>
    <d v="2022-06-01T00:00:00"/>
    <n v="37.46"/>
    <n v="37.47"/>
    <n v="30.64"/>
    <n v="31.13"/>
    <n v="28.4"/>
    <n v="996294300"/>
    <x v="1"/>
  </r>
  <r>
    <d v="2022-05-01T00:00:00"/>
    <n v="36.03"/>
    <n v="38.75"/>
    <n v="32.96"/>
    <n v="37.200000000000003"/>
    <n v="33.94"/>
    <n v="1107801400"/>
    <x v="1"/>
  </r>
  <r>
    <d v="2022-04-01T00:00:00"/>
    <n v="41.69"/>
    <n v="41.74"/>
    <n v="35.54"/>
    <n v="35.68"/>
    <n v="32.56"/>
    <n v="1032209900"/>
    <x v="1"/>
  </r>
  <r>
    <d v="2022-03-01T00:00:00"/>
    <n v="43.71"/>
    <n v="44.63"/>
    <n v="38.17"/>
    <n v="41.22"/>
    <n v="37.43"/>
    <n v="1312818500"/>
    <x v="1"/>
  </r>
  <r>
    <d v="2022-02-01T00:00:00"/>
    <n v="46.21"/>
    <n v="50.11"/>
    <n v="42.05"/>
    <n v="44.2"/>
    <n v="40.130000000000003"/>
    <n v="941748700"/>
    <x v="1"/>
  </r>
  <r>
    <d v="2022-01-01T00:00:00"/>
    <n v="45.09"/>
    <n v="50.08"/>
    <n v="42.59"/>
    <n v="46.14"/>
    <n v="41.89"/>
    <n v="1225178700"/>
    <x v="1"/>
  </r>
  <r>
    <d v="2021-12-01T00:00:00"/>
    <n v="45.22"/>
    <n v="45.7"/>
    <n v="42.7"/>
    <n v="44.49"/>
    <n v="40.200000000000003"/>
    <n v="1060922000"/>
    <x v="1"/>
  </r>
  <r>
    <d v="2021-11-01T00:00:00"/>
    <n v="48.1"/>
    <n v="48.69"/>
    <n v="44.36"/>
    <n v="44.47"/>
    <n v="40.18"/>
    <n v="895399100"/>
    <x v="1"/>
  </r>
  <r>
    <d v="2021-10-01T00:00:00"/>
    <n v="42.48"/>
    <n v="48.43"/>
    <n v="42.33"/>
    <n v="47.78"/>
    <n v="43.18"/>
    <n v="917220900"/>
    <x v="1"/>
  </r>
  <r>
    <d v="2021-09-01T00:00:00"/>
    <n v="41.75"/>
    <n v="44.04"/>
    <n v="38.36"/>
    <n v="42.45"/>
    <n v="38.159999999999997"/>
    <n v="1022318600"/>
    <x v="1"/>
  </r>
  <r>
    <d v="2021-08-01T00:00:00"/>
    <n v="38.4"/>
    <n v="42.84"/>
    <n v="37.549999999999997"/>
    <n v="41.75"/>
    <n v="37.53"/>
    <n v="997266200"/>
    <x v="1"/>
  </r>
  <r>
    <d v="2021-07-01T00:00:00"/>
    <n v="41.56"/>
    <n v="41.7"/>
    <n v="36.51"/>
    <n v="38.36"/>
    <n v="34.49"/>
    <n v="1060522600"/>
    <x v="1"/>
  </r>
  <r>
    <d v="2021-06-01T00:00:00"/>
    <n v="42.95"/>
    <n v="43.49"/>
    <n v="38.49"/>
    <n v="41.23"/>
    <n v="36.909999999999997"/>
    <n v="984580900"/>
    <x v="1"/>
  </r>
  <r>
    <d v="2021-05-01T00:00:00"/>
    <n v="40.869999999999997"/>
    <n v="43.26"/>
    <n v="39.78"/>
    <n v="42.39"/>
    <n v="37.950000000000003"/>
    <n v="823509600"/>
    <x v="1"/>
  </r>
  <r>
    <d v="2021-04-01T00:00:00"/>
    <n v="38.83"/>
    <n v="41.13"/>
    <n v="37.409999999999997"/>
    <n v="40.53"/>
    <n v="36.29"/>
    <n v="1029977500"/>
    <x v="1"/>
  </r>
  <r>
    <d v="2021-03-01T00:00:00"/>
    <n v="35.520000000000003"/>
    <n v="39.97"/>
    <n v="35.24"/>
    <n v="38.69"/>
    <n v="34.47"/>
    <n v="1378848200"/>
    <x v="1"/>
  </r>
  <r>
    <d v="2021-02-01T00:00:00"/>
    <n v="29.87"/>
    <n v="37.03"/>
    <n v="29.57"/>
    <n v="34.71"/>
    <n v="30.92"/>
    <n v="949913300"/>
    <x v="1"/>
  </r>
  <r>
    <d v="2021-01-01T00:00:00"/>
    <n v="30.46"/>
    <n v="34.369999999999997"/>
    <n v="29.59"/>
    <n v="29.65"/>
    <n v="26.41"/>
    <n v="1085862900"/>
    <x v="1"/>
  </r>
  <r>
    <d v="2020-12-01T00:00:00"/>
    <n v="28.74"/>
    <n v="30.55"/>
    <n v="28.14"/>
    <n v="30.31"/>
    <n v="26.83"/>
    <n v="1027329000"/>
    <x v="1"/>
  </r>
  <r>
    <d v="2025-11-01T00:00:00"/>
    <n v="87.14"/>
    <n v="88.64"/>
    <n v="82.96"/>
    <n v="85.05"/>
    <n v="84.61"/>
    <n v="152398200"/>
    <x v="2"/>
  </r>
  <r>
    <d v="2025-10-01T00:00:00"/>
    <n v="83.1"/>
    <n v="87.47"/>
    <n v="77.62"/>
    <n v="86.97"/>
    <n v="86.52"/>
    <n v="366280200"/>
    <x v="2"/>
  </r>
  <r>
    <d v="2025-09-01T00:00:00"/>
    <n v="81.709999999999994"/>
    <n v="86.66"/>
    <n v="78.56"/>
    <n v="83.82"/>
    <n v="83.38"/>
    <n v="296633400"/>
    <x v="2"/>
  </r>
  <r>
    <d v="2025-08-01T00:00:00"/>
    <n v="79.19"/>
    <n v="83.21"/>
    <n v="76.16"/>
    <n v="82.18"/>
    <n v="81.27"/>
    <n v="284526700"/>
    <x v="2"/>
  </r>
  <r>
    <d v="2025-07-01T00:00:00"/>
    <n v="80.05"/>
    <n v="84.83"/>
    <n v="77.72"/>
    <n v="80.63"/>
    <n v="79.739999999999995"/>
    <n v="417623500"/>
    <x v="2"/>
  </r>
  <r>
    <d v="2025-06-01T00:00:00"/>
    <n v="74.260000000000005"/>
    <n v="81.099999999999994"/>
    <n v="71.930000000000007"/>
    <n v="80.12"/>
    <n v="79.239999999999995"/>
    <n v="356076100"/>
    <x v="2"/>
  </r>
  <r>
    <d v="2025-05-01T00:00:00"/>
    <n v="70.760000000000005"/>
    <n v="76.58"/>
    <n v="70.430000000000007"/>
    <n v="74.78"/>
    <n v="73.55"/>
    <n v="305735400"/>
    <x v="2"/>
  </r>
  <r>
    <d v="2025-04-01T00:00:00"/>
    <n v="70.84"/>
    <n v="72.47"/>
    <n v="58.42"/>
    <n v="71.010000000000005"/>
    <n v="69.84"/>
    <n v="493519900"/>
    <x v="2"/>
  </r>
  <r>
    <d v="2025-03-01T00:00:00"/>
    <n v="78.86"/>
    <n v="78.98"/>
    <n v="65.52"/>
    <n v="71.790000000000006"/>
    <n v="70.61"/>
    <n v="363280500"/>
    <x v="2"/>
  </r>
  <r>
    <d v="2025-02-01T00:00:00"/>
    <n v="77.23"/>
    <n v="81.5"/>
    <n v="74.930000000000007"/>
    <n v="78.319999999999993"/>
    <n v="76.650000000000006"/>
    <n v="298858000"/>
    <x v="2"/>
  </r>
  <r>
    <d v="2025-01-01T00:00:00"/>
    <n v="70.48"/>
    <n v="79.290000000000006"/>
    <n v="69.34"/>
    <n v="78.8"/>
    <n v="77.12"/>
    <n v="300692400"/>
    <x v="2"/>
  </r>
  <r>
    <d v="2024-12-01T00:00:00"/>
    <n v="76.95"/>
    <n v="76.95"/>
    <n v="68.61"/>
    <n v="70.239999999999995"/>
    <n v="68.75"/>
    <n v="322967900"/>
    <x v="2"/>
  </r>
  <r>
    <d v="2024-11-01T00:00:00"/>
    <n v="65.22"/>
    <n v="78.13"/>
    <n v="63.05"/>
    <n v="76.17"/>
    <n v="74.12"/>
    <n v="382978600"/>
    <x v="2"/>
  </r>
  <r>
    <d v="2024-10-01T00:00:00"/>
    <n v="56"/>
    <n v="66.400000000000006"/>
    <n v="54.41"/>
    <n v="64.92"/>
    <n v="63.18"/>
    <n v="387173600"/>
    <x v="2"/>
  </r>
  <r>
    <d v="2024-09-01T00:00:00"/>
    <n v="58.62"/>
    <n v="59"/>
    <n v="50.22"/>
    <n v="56.49"/>
    <n v="54.97"/>
    <n v="420231200"/>
    <x v="2"/>
  </r>
  <r>
    <d v="2024-08-01T00:00:00"/>
    <n v="59.26"/>
    <n v="59.34"/>
    <n v="50.15"/>
    <n v="58.47"/>
    <n v="56.47"/>
    <n v="348723100"/>
    <x v="2"/>
  </r>
  <r>
    <d v="2024-07-01T00:00:00"/>
    <n v="59.61"/>
    <n v="61.18"/>
    <n v="55.6"/>
    <n v="59.34"/>
    <n v="57.31"/>
    <n v="343211000"/>
    <x v="2"/>
  </r>
  <r>
    <d v="2024-06-01T00:00:00"/>
    <n v="60.2"/>
    <n v="60.2"/>
    <n v="56.33"/>
    <n v="59.39"/>
    <n v="57.36"/>
    <n v="377118800"/>
    <x v="2"/>
  </r>
  <r>
    <d v="2024-05-01T00:00:00"/>
    <n v="59.58"/>
    <n v="62.55"/>
    <n v="58.42"/>
    <n v="59.92"/>
    <n v="57.54"/>
    <n v="342804600"/>
    <x v="2"/>
  </r>
  <r>
    <d v="2024-04-01T00:00:00"/>
    <n v="57.88"/>
    <n v="61.76"/>
    <n v="55.34"/>
    <n v="59.32"/>
    <n v="56.96"/>
    <n v="413690600"/>
    <x v="2"/>
  </r>
  <r>
    <d v="2024-03-01T00:00:00"/>
    <n v="55.4"/>
    <n v="58.44"/>
    <n v="54.73"/>
    <n v="57.96"/>
    <n v="55.65"/>
    <n v="384218700"/>
    <x v="2"/>
  </r>
  <r>
    <d v="2024-02-01T00:00:00"/>
    <n v="49.82"/>
    <n v="55.7"/>
    <n v="47.45"/>
    <n v="55.59"/>
    <n v="53.01"/>
    <n v="395337800"/>
    <x v="2"/>
  </r>
  <r>
    <d v="2024-01-01T00:00:00"/>
    <n v="49.05"/>
    <n v="51.44"/>
    <n v="46.12"/>
    <n v="50.18"/>
    <n v="47.85"/>
    <n v="388441000"/>
    <x v="2"/>
  </r>
  <r>
    <d v="2023-12-01T00:00:00"/>
    <n v="44.51"/>
    <n v="50.77"/>
    <n v="44.38"/>
    <n v="49.22"/>
    <n v="46.93"/>
    <n v="382836700"/>
    <x v="2"/>
  </r>
  <r>
    <d v="2023-11-01T00:00:00"/>
    <n v="39.96"/>
    <n v="44.75"/>
    <n v="39.28"/>
    <n v="44.59"/>
    <n v="42.14"/>
    <n v="328148500"/>
    <x v="2"/>
  </r>
  <r>
    <d v="2023-10-01T00:00:00"/>
    <n v="40.700000000000003"/>
    <n v="42.37"/>
    <n v="38.39"/>
    <n v="39.770000000000003"/>
    <n v="37.590000000000003"/>
    <n v="341744500"/>
    <x v="2"/>
  </r>
  <r>
    <d v="2023-09-01T00:00:00"/>
    <n v="41.55"/>
    <n v="43.74"/>
    <n v="40.299999999999997"/>
    <n v="40.86"/>
    <n v="38.619999999999997"/>
    <n v="333548000"/>
    <x v="2"/>
  </r>
  <r>
    <d v="2023-08-01T00:00:00"/>
    <n v="46.01"/>
    <n v="46.16"/>
    <n v="40.770000000000003"/>
    <n v="41.29"/>
    <n v="38.72"/>
    <n v="284173100"/>
    <x v="2"/>
  </r>
  <r>
    <d v="2023-07-01T00:00:00"/>
    <n v="42.88"/>
    <n v="47.24"/>
    <n v="42.07"/>
    <n v="46.16"/>
    <n v="43.29"/>
    <n v="340830500"/>
    <x v="2"/>
  </r>
  <r>
    <d v="2023-06-01T00:00:00"/>
    <n v="40.21"/>
    <n v="43.34"/>
    <n v="39.68"/>
    <n v="42.68"/>
    <n v="40.020000000000003"/>
    <n v="363195000"/>
    <x v="2"/>
  </r>
  <r>
    <d v="2023-05-01T00:00:00"/>
    <n v="40.49"/>
    <n v="42.12"/>
    <n v="36.4"/>
    <n v="39.81"/>
    <n v="37.04"/>
    <n v="538516100"/>
    <x v="2"/>
  </r>
  <r>
    <d v="2023-04-01T00:00:00"/>
    <n v="37.520000000000003"/>
    <n v="42.41"/>
    <n v="36.270000000000003"/>
    <n v="39.75"/>
    <n v="36.99"/>
    <n v="450940100"/>
    <x v="2"/>
  </r>
  <r>
    <d v="2023-03-01T00:00:00"/>
    <n v="46.5"/>
    <n v="47.18"/>
    <n v="35.25"/>
    <n v="37.380000000000003"/>
    <n v="34.78"/>
    <n v="730423100"/>
    <x v="2"/>
  </r>
  <r>
    <d v="2023-02-01T00:00:00"/>
    <n v="46.66"/>
    <n v="48.84"/>
    <n v="45.69"/>
    <n v="46.77"/>
    <n v="43.24"/>
    <n v="314575300"/>
    <x v="2"/>
  </r>
  <r>
    <d v="2023-01-01T00:00:00"/>
    <n v="41.61"/>
    <n v="46.88"/>
    <n v="40.46"/>
    <n v="46.87"/>
    <n v="43.34"/>
    <n v="398335300"/>
    <x v="2"/>
  </r>
  <r>
    <d v="2022-12-01T00:00:00"/>
    <n v="47.93"/>
    <n v="48.18"/>
    <n v="40.020000000000003"/>
    <n v="41.29"/>
    <n v="38.18"/>
    <n v="414604800"/>
    <x v="2"/>
  </r>
  <r>
    <d v="2022-11-01T00:00:00"/>
    <n v="46.58"/>
    <n v="48.36"/>
    <n v="45.41"/>
    <n v="47.95"/>
    <n v="44.05"/>
    <n v="348895000"/>
    <x v="2"/>
  </r>
  <r>
    <d v="2022-10-01T00:00:00"/>
    <n v="41.29"/>
    <n v="46.52"/>
    <n v="39.75"/>
    <n v="45.99"/>
    <n v="42.25"/>
    <n v="383039100"/>
    <x v="2"/>
  </r>
  <r>
    <d v="2022-09-01T00:00:00"/>
    <n v="43.66"/>
    <n v="46.14"/>
    <n v="39.340000000000003"/>
    <n v="40.22"/>
    <n v="36.950000000000003"/>
    <n v="354330500"/>
    <x v="2"/>
  </r>
  <r>
    <d v="2022-08-01T00:00:00"/>
    <n v="43.44"/>
    <n v="46.32"/>
    <n v="42.53"/>
    <n v="43.71"/>
    <n v="39.880000000000003"/>
    <n v="308752700"/>
    <x v="2"/>
  </r>
  <r>
    <d v="2022-07-01T00:00:00"/>
    <n v="38.72"/>
    <n v="44.35"/>
    <n v="37.43"/>
    <n v="43.87"/>
    <n v="40.03"/>
    <n v="377913800"/>
    <x v="2"/>
  </r>
  <r>
    <d v="2022-06-01T00:00:00"/>
    <n v="45.96"/>
    <n v="46.07"/>
    <n v="36.54"/>
    <n v="39.17"/>
    <n v="35.74"/>
    <n v="503139500"/>
    <x v="2"/>
  </r>
  <r>
    <d v="2022-05-01T00:00:00"/>
    <n v="43.87"/>
    <n v="46.27"/>
    <n v="40.74"/>
    <n v="45.77"/>
    <n v="41.53"/>
    <n v="548344800"/>
    <x v="2"/>
  </r>
  <r>
    <d v="2022-04-01T00:00:00"/>
    <n v="49.25"/>
    <n v="50.19"/>
    <n v="43.51"/>
    <n v="43.63"/>
    <n v="39.590000000000003"/>
    <n v="521880200"/>
    <x v="2"/>
  </r>
  <r>
    <d v="2022-03-01T00:00:00"/>
    <n v="52.44"/>
    <n v="54.2"/>
    <n v="45.77"/>
    <n v="48.46"/>
    <n v="43.97"/>
    <n v="754688700"/>
    <x v="2"/>
  </r>
  <r>
    <d v="2022-02-01T00:00:00"/>
    <n v="54.72"/>
    <n v="60.3"/>
    <n v="50.68"/>
    <n v="53.37"/>
    <n v="48.21"/>
    <n v="569263200"/>
    <x v="2"/>
  </r>
  <r>
    <d v="2022-01-01T00:00:00"/>
    <n v="48.93"/>
    <n v="58.87"/>
    <n v="48.92"/>
    <n v="53.8"/>
    <n v="48.6"/>
    <n v="742893200"/>
    <x v="2"/>
  </r>
  <r>
    <d v="2021-12-01T00:00:00"/>
    <n v="48.69"/>
    <n v="50.82"/>
    <n v="46.25"/>
    <n v="47.98"/>
    <n v="43.34"/>
    <n v="518911300"/>
    <x v="2"/>
  </r>
  <r>
    <d v="2021-11-01T00:00:00"/>
    <n v="51.56"/>
    <n v="52.57"/>
    <n v="47.32"/>
    <n v="47.78"/>
    <n v="43"/>
    <n v="501550700"/>
    <x v="2"/>
  </r>
  <r>
    <d v="2021-10-01T00:00:00"/>
    <n v="46.55"/>
    <n v="51.64"/>
    <n v="44.83"/>
    <n v="51.16"/>
    <n v="46.04"/>
    <n v="516094300"/>
    <x v="2"/>
  </r>
  <r>
    <d v="2021-09-01T00:00:00"/>
    <n v="45.7"/>
    <n v="48.94"/>
    <n v="43.27"/>
    <n v="46.41"/>
    <n v="41.76"/>
    <n v="651312400"/>
    <x v="2"/>
  </r>
  <r>
    <d v="2021-08-01T00:00:00"/>
    <n v="46.04"/>
    <n v="51.41"/>
    <n v="45.11"/>
    <n v="45.7"/>
    <n v="40.950000000000003"/>
    <n v="528672200"/>
    <x v="2"/>
  </r>
  <r>
    <d v="2021-07-01T00:00:00"/>
    <n v="45.48"/>
    <n v="46.85"/>
    <n v="41.97"/>
    <n v="45.94"/>
    <n v="41.16"/>
    <n v="560767400"/>
    <x v="2"/>
  </r>
  <r>
    <d v="2021-06-01T00:00:00"/>
    <n v="47.16"/>
    <n v="47.46"/>
    <n v="41.47"/>
    <n v="45.29"/>
    <n v="40.58"/>
    <n v="607672400"/>
    <x v="2"/>
  </r>
  <r>
    <d v="2021-05-01T00:00:00"/>
    <n v="45.45"/>
    <n v="48.13"/>
    <n v="44.67"/>
    <n v="46.72"/>
    <n v="41.77"/>
    <n v="526684700"/>
    <x v="2"/>
  </r>
  <r>
    <d v="2021-04-01T00:00:00"/>
    <n v="38.96"/>
    <n v="46.39"/>
    <n v="38.92"/>
    <n v="45.05"/>
    <n v="40.28"/>
    <n v="634499100"/>
    <x v="2"/>
  </r>
  <r>
    <d v="2021-03-01T00:00:00"/>
    <n v="37.11"/>
    <n v="41.54"/>
    <n v="36.340000000000003"/>
    <n v="39.07"/>
    <n v="34.93"/>
    <n v="781557400"/>
    <x v="2"/>
  </r>
  <r>
    <d v="2021-02-01T00:00:00"/>
    <n v="30.14"/>
    <n v="38.68"/>
    <n v="29.68"/>
    <n v="36.17"/>
    <n v="32.24"/>
    <n v="655506000"/>
    <x v="2"/>
  </r>
  <r>
    <d v="2021-01-01T00:00:00"/>
    <n v="30.32"/>
    <n v="35.1"/>
    <n v="29.4"/>
    <n v="29.88"/>
    <n v="26.63"/>
    <n v="798079600"/>
    <x v="2"/>
  </r>
  <r>
    <d v="2020-12-01T00:00:00"/>
    <n v="28.15"/>
    <n v="30.49"/>
    <n v="27.85"/>
    <n v="30.18"/>
    <n v="26.9"/>
    <n v="737667600"/>
    <x v="2"/>
  </r>
  <r>
    <m/>
    <m/>
    <m/>
    <m/>
    <m/>
    <m/>
    <m/>
    <x v="3"/>
  </r>
  <r>
    <m/>
    <m/>
    <m/>
    <m/>
    <m/>
    <m/>
    <m/>
    <x v="3"/>
  </r>
  <r>
    <m/>
    <m/>
    <m/>
    <m/>
    <m/>
    <m/>
    <m/>
    <x v="3"/>
  </r>
  <r>
    <m/>
    <m/>
    <m/>
    <m/>
    <m/>
    <m/>
    <m/>
    <x v="3"/>
  </r>
  <r>
    <m/>
    <m/>
    <m/>
    <m/>
    <m/>
    <m/>
    <m/>
    <x v="3"/>
  </r>
  <r>
    <m/>
    <m/>
    <m/>
    <m/>
    <m/>
    <m/>
    <m/>
    <x v="3"/>
  </r>
  <r>
    <m/>
    <m/>
    <m/>
    <m/>
    <m/>
    <m/>
    <m/>
    <x v="3"/>
  </r>
  <r>
    <m/>
    <m/>
    <m/>
    <m/>
    <m/>
    <m/>
    <m/>
    <x v="3"/>
  </r>
  <r>
    <m/>
    <m/>
    <m/>
    <m/>
    <m/>
    <m/>
    <m/>
    <x v="3"/>
  </r>
  <r>
    <m/>
    <m/>
    <m/>
    <m/>
    <m/>
    <m/>
    <m/>
    <x v="3"/>
  </r>
  <r>
    <m/>
    <m/>
    <m/>
    <m/>
    <m/>
    <m/>
    <m/>
    <x v="3"/>
  </r>
  <r>
    <m/>
    <m/>
    <m/>
    <m/>
    <m/>
    <m/>
    <m/>
    <x v="3"/>
  </r>
  <r>
    <m/>
    <m/>
    <m/>
    <m/>
    <m/>
    <m/>
    <m/>
    <x v="3"/>
  </r>
  <r>
    <m/>
    <m/>
    <m/>
    <m/>
    <m/>
    <m/>
    <m/>
    <x v="3"/>
  </r>
  <r>
    <m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376B11-F7B0-274D-B364-9E95D603752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0" firstDataRow="1" firstDataCol="1"/>
  <pivotFields count="8">
    <pivotField showAll="0"/>
    <pivotField showAll="0"/>
    <pivotField dataField="1" showAll="0"/>
    <pivotField dataField="1" showAll="0"/>
    <pivotField showAll="0"/>
    <pivotField dataField="1" showAll="0"/>
    <pivotField showAll="0"/>
    <pivotField axis="axisRow" dataField="1" showAll="0">
      <items count="5">
        <item x="1"/>
        <item x="0"/>
        <item x="2"/>
        <item h="1" x="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Bank" fld="7" subtotal="count" baseField="0" baseItem="0"/>
    <dataField name="Average of Adj Close " fld="5" subtotal="average" baseField="0" baseItem="0"/>
    <dataField name="Average of High" fld="2" subtotal="average" baseField="0" baseItem="0"/>
    <dataField name="Average of Low" fld="3" subtotal="average" baseField="0" baseItem="0"/>
  </dataFields>
  <formats count="2">
    <format dxfId="1">
      <pivotArea collapsedLevelsAreSubtotals="1" fieldPosition="0">
        <references count="2">
          <reference field="4294967294" count="2" selected="0">
            <x v="2"/>
            <x v="3"/>
          </reference>
          <reference field="7" count="0"/>
        </references>
      </pivotArea>
    </format>
    <format dxfId="0">
      <pivotArea collapsedLevelsAreSubtotals="1" fieldPosition="0">
        <references count="2">
          <reference field="4294967294" count="1" selected="0">
            <x v="1"/>
          </reference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1309E-9710-1D4E-8180-6DC72089CB4E}">
  <dimension ref="A1:AG195"/>
  <sheetViews>
    <sheetView topLeftCell="A65" workbookViewId="0">
      <selection activeCell="K83" sqref="K83"/>
    </sheetView>
  </sheetViews>
  <sheetFormatPr baseColWidth="10" defaultRowHeight="16" x14ac:dyDescent="0.2"/>
  <cols>
    <col min="1" max="1" width="11.33203125" bestFit="1" customWidth="1"/>
    <col min="7" max="7" width="16.6640625" bestFit="1" customWidth="1"/>
    <col min="10" max="11" width="11.33203125" bestFit="1" customWidth="1"/>
  </cols>
  <sheetData>
    <row r="1" spans="1:13" x14ac:dyDescent="0.2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J1" s="4" t="s">
        <v>7</v>
      </c>
      <c r="K1" t="s">
        <v>21</v>
      </c>
      <c r="L1" t="s">
        <v>22</v>
      </c>
      <c r="M1" t="s">
        <v>23</v>
      </c>
    </row>
    <row r="2" spans="1:13" ht="18" x14ac:dyDescent="0.2">
      <c r="A2" s="5">
        <v>45962</v>
      </c>
      <c r="B2" s="6">
        <v>311</v>
      </c>
      <c r="C2" s="6">
        <v>322.25</v>
      </c>
      <c r="D2" s="6">
        <v>301.23</v>
      </c>
      <c r="E2" s="6">
        <v>303.61</v>
      </c>
      <c r="F2" s="6">
        <v>303.61</v>
      </c>
      <c r="G2" s="7">
        <v>76928700</v>
      </c>
      <c r="J2" s="5">
        <v>45962</v>
      </c>
      <c r="K2">
        <f>(F2-F3)/F3</f>
        <v>-1.9379219017473595E-2</v>
      </c>
      <c r="L2">
        <f t="shared" ref="L2:L33" si="0">(F68-F69)/F69</f>
        <v>-1.5715622076707268E-2</v>
      </c>
      <c r="M2">
        <f t="shared" ref="M2:M33" si="1">(F136-F137)/F137</f>
        <v>-2.2075820619509901E-2</v>
      </c>
    </row>
    <row r="3" spans="1:13" ht="18" x14ac:dyDescent="0.2">
      <c r="A3" s="5">
        <v>45931</v>
      </c>
      <c r="B3" s="6">
        <v>313.97000000000003</v>
      </c>
      <c r="C3" s="6">
        <v>314.58999999999997</v>
      </c>
      <c r="D3" s="6">
        <v>290.54000000000002</v>
      </c>
      <c r="E3" s="6">
        <v>311.12</v>
      </c>
      <c r="F3" s="6">
        <v>309.61</v>
      </c>
      <c r="G3" s="7">
        <v>189429800</v>
      </c>
      <c r="J3" s="5">
        <v>45931</v>
      </c>
      <c r="K3">
        <f>(F3-F4)/F4</f>
        <v>-1.3666772857597846E-2</v>
      </c>
      <c r="L3">
        <f t="shared" si="0"/>
        <v>4.191033138401571E-2</v>
      </c>
      <c r="M3">
        <f t="shared" si="1"/>
        <v>3.7658911009834505E-2</v>
      </c>
    </row>
    <row r="4" spans="1:13" ht="18" x14ac:dyDescent="0.2">
      <c r="A4" s="5">
        <v>45901</v>
      </c>
      <c r="B4" s="6">
        <v>300.26</v>
      </c>
      <c r="C4" s="6">
        <v>318.01</v>
      </c>
      <c r="D4" s="6">
        <v>291.44</v>
      </c>
      <c r="E4" s="6">
        <v>315.43</v>
      </c>
      <c r="F4" s="6">
        <v>313.89999999999998</v>
      </c>
      <c r="G4" s="7">
        <v>182562300</v>
      </c>
      <c r="J4" s="5">
        <v>45901</v>
      </c>
      <c r="K4">
        <f t="shared" ref="K4:K33" si="2">(F4-F5)/F5</f>
        <v>4.6472863048406449E-2</v>
      </c>
      <c r="L4">
        <f t="shared" si="0"/>
        <v>1.6646848989298382E-2</v>
      </c>
      <c r="M4">
        <f t="shared" si="1"/>
        <v>2.5962839916328282E-2</v>
      </c>
    </row>
    <row r="5" spans="1:13" ht="18" x14ac:dyDescent="0.2">
      <c r="A5" s="5">
        <v>45870</v>
      </c>
      <c r="B5" s="6">
        <v>290.39999999999998</v>
      </c>
      <c r="C5" s="6">
        <v>302.95</v>
      </c>
      <c r="D5" s="6">
        <v>284.24</v>
      </c>
      <c r="E5" s="6">
        <v>301.42</v>
      </c>
      <c r="F5" s="6">
        <v>299.95999999999998</v>
      </c>
      <c r="G5" s="7">
        <v>148828400</v>
      </c>
      <c r="J5" s="5">
        <v>45870</v>
      </c>
      <c r="K5">
        <f t="shared" si="2"/>
        <v>2.239340127475372E-2</v>
      </c>
      <c r="L5">
        <f t="shared" si="0"/>
        <v>7.3388640714741604E-2</v>
      </c>
      <c r="M5">
        <f t="shared" si="1"/>
        <v>1.9187358916478572E-2</v>
      </c>
    </row>
    <row r="6" spans="1:13" ht="18" x14ac:dyDescent="0.2">
      <c r="A6" s="5">
        <v>45839</v>
      </c>
      <c r="B6" s="6">
        <v>290.89</v>
      </c>
      <c r="C6" s="6">
        <v>301.29000000000002</v>
      </c>
      <c r="D6" s="6">
        <v>280.31</v>
      </c>
      <c r="E6" s="6">
        <v>296.24</v>
      </c>
      <c r="F6" s="6">
        <v>293.39</v>
      </c>
      <c r="G6" s="7">
        <v>198593200</v>
      </c>
      <c r="J6" s="5">
        <v>45839</v>
      </c>
      <c r="K6">
        <f t="shared" si="2"/>
        <v>2.1837559208693166E-2</v>
      </c>
      <c r="L6">
        <f t="shared" si="0"/>
        <v>4.9166310389054486E-3</v>
      </c>
      <c r="M6">
        <f t="shared" si="1"/>
        <v>6.3099444724886425E-3</v>
      </c>
    </row>
    <row r="7" spans="1:13" ht="18" x14ac:dyDescent="0.2">
      <c r="A7" s="5">
        <v>45809</v>
      </c>
      <c r="B7" s="6">
        <v>263.02</v>
      </c>
      <c r="C7" s="6">
        <v>292.64999999999998</v>
      </c>
      <c r="D7" s="6">
        <v>260.31</v>
      </c>
      <c r="E7" s="6">
        <v>289.91000000000003</v>
      </c>
      <c r="F7" s="6">
        <v>287.12</v>
      </c>
      <c r="G7" s="7">
        <v>174361400</v>
      </c>
      <c r="J7" s="5">
        <v>45809</v>
      </c>
      <c r="K7">
        <f t="shared" si="2"/>
        <v>9.8141207068002861E-2</v>
      </c>
      <c r="L7">
        <f t="shared" si="0"/>
        <v>7.219802887921152E-2</v>
      </c>
      <c r="M7">
        <f t="shared" si="1"/>
        <v>7.7362338545207313E-2</v>
      </c>
    </row>
    <row r="8" spans="1:13" ht="18" x14ac:dyDescent="0.2">
      <c r="A8" s="5">
        <v>45778</v>
      </c>
      <c r="B8" s="6">
        <v>242.84</v>
      </c>
      <c r="C8" s="6">
        <v>269.52</v>
      </c>
      <c r="D8" s="6">
        <v>242.17</v>
      </c>
      <c r="E8" s="6">
        <v>264</v>
      </c>
      <c r="F8" s="6">
        <v>261.45999999999998</v>
      </c>
      <c r="G8" s="7">
        <v>165122600</v>
      </c>
      <c r="J8" s="5">
        <v>45778</v>
      </c>
      <c r="K8">
        <f t="shared" si="2"/>
        <v>8.5842435317081231E-2</v>
      </c>
      <c r="L8">
        <f t="shared" si="0"/>
        <v>0.10651787978696431</v>
      </c>
      <c r="M8">
        <f t="shared" si="1"/>
        <v>5.3121420389461535E-2</v>
      </c>
    </row>
    <row r="9" spans="1:13" ht="18" x14ac:dyDescent="0.2">
      <c r="A9" s="5">
        <v>45748</v>
      </c>
      <c r="B9" s="6">
        <v>242.62</v>
      </c>
      <c r="C9" s="6">
        <v>247.25</v>
      </c>
      <c r="D9" s="6">
        <v>202.16</v>
      </c>
      <c r="E9" s="6">
        <v>244.62</v>
      </c>
      <c r="F9" s="6">
        <v>240.79</v>
      </c>
      <c r="G9" s="7">
        <v>287378000</v>
      </c>
      <c r="J9" s="5">
        <v>45748</v>
      </c>
      <c r="K9">
        <f t="shared" si="2"/>
        <v>-2.7747867141556196E-3</v>
      </c>
      <c r="L9">
        <f t="shared" si="0"/>
        <v>-3.8292682926829275E-2</v>
      </c>
      <c r="M9">
        <f t="shared" si="1"/>
        <v>-1.0904970967285032E-2</v>
      </c>
    </row>
    <row r="10" spans="1:13" ht="18" x14ac:dyDescent="0.2">
      <c r="A10" s="5">
        <v>45717</v>
      </c>
      <c r="B10" s="6">
        <v>264</v>
      </c>
      <c r="C10" s="6">
        <v>266.32</v>
      </c>
      <c r="D10" s="6">
        <v>224.23</v>
      </c>
      <c r="E10" s="6">
        <v>245.3</v>
      </c>
      <c r="F10" s="6">
        <v>241.46</v>
      </c>
      <c r="G10" s="7">
        <v>265181900</v>
      </c>
      <c r="J10" s="5">
        <v>45717</v>
      </c>
      <c r="K10">
        <f t="shared" si="2"/>
        <v>-7.3090211132437591E-2</v>
      </c>
      <c r="L10">
        <f t="shared" si="0"/>
        <v>-9.472289688672994E-2</v>
      </c>
      <c r="M10">
        <f t="shared" si="1"/>
        <v>-7.8799739073711753E-2</v>
      </c>
    </row>
    <row r="11" spans="1:13" ht="18" x14ac:dyDescent="0.2">
      <c r="A11" s="5">
        <v>45689</v>
      </c>
      <c r="B11" s="6">
        <v>261.83</v>
      </c>
      <c r="C11" s="6">
        <v>280.25</v>
      </c>
      <c r="D11" s="6">
        <v>253.35</v>
      </c>
      <c r="E11" s="6">
        <v>264.64999999999998</v>
      </c>
      <c r="F11" s="6">
        <v>260.5</v>
      </c>
      <c r="G11" s="7">
        <v>156634700</v>
      </c>
      <c r="J11" s="5">
        <v>45689</v>
      </c>
      <c r="K11">
        <f t="shared" si="2"/>
        <v>-4.813569682151555E-3</v>
      </c>
      <c r="L11">
        <f t="shared" si="0"/>
        <v>-4.3965706748736611E-3</v>
      </c>
      <c r="M11">
        <f t="shared" si="1"/>
        <v>-6.0943983402489479E-3</v>
      </c>
    </row>
    <row r="12" spans="1:13" ht="18" x14ac:dyDescent="0.2">
      <c r="A12" s="5">
        <v>45658</v>
      </c>
      <c r="B12" s="6">
        <v>240.92</v>
      </c>
      <c r="C12" s="6">
        <v>270.82</v>
      </c>
      <c r="D12" s="6">
        <v>238.74</v>
      </c>
      <c r="E12" s="6">
        <v>267.3</v>
      </c>
      <c r="F12" s="6">
        <v>261.76</v>
      </c>
      <c r="G12" s="7">
        <v>209826800</v>
      </c>
      <c r="J12" s="5">
        <v>45658</v>
      </c>
      <c r="K12">
        <f t="shared" si="2"/>
        <v>0.11510607480616844</v>
      </c>
      <c r="L12">
        <f t="shared" si="0"/>
        <v>5.9385188635305182E-2</v>
      </c>
      <c r="M12">
        <f t="shared" si="1"/>
        <v>0.12174545454545461</v>
      </c>
    </row>
    <row r="13" spans="1:13" ht="18" x14ac:dyDescent="0.2">
      <c r="A13" s="5">
        <v>45627</v>
      </c>
      <c r="B13" s="6">
        <v>249.55</v>
      </c>
      <c r="C13" s="6">
        <v>250.25</v>
      </c>
      <c r="D13" s="6">
        <v>229.53</v>
      </c>
      <c r="E13" s="6">
        <v>239.71</v>
      </c>
      <c r="F13" s="6">
        <v>234.74</v>
      </c>
      <c r="G13" s="7">
        <v>181266200</v>
      </c>
      <c r="J13" s="5">
        <v>45627</v>
      </c>
      <c r="K13">
        <f t="shared" si="2"/>
        <v>-4.0075243313977195E-2</v>
      </c>
      <c r="L13">
        <f t="shared" si="0"/>
        <v>-7.4967686342094011E-2</v>
      </c>
      <c r="M13">
        <f t="shared" si="1"/>
        <v>-7.2450080949811174E-2</v>
      </c>
    </row>
    <row r="14" spans="1:13" ht="18" x14ac:dyDescent="0.2">
      <c r="A14" s="5">
        <v>45597</v>
      </c>
      <c r="B14" s="6">
        <v>223.56</v>
      </c>
      <c r="C14" s="6">
        <v>254.31</v>
      </c>
      <c r="D14" s="6">
        <v>219.17</v>
      </c>
      <c r="E14" s="6">
        <v>249.72</v>
      </c>
      <c r="F14" s="6">
        <v>244.54</v>
      </c>
      <c r="G14" s="7">
        <v>188851300</v>
      </c>
      <c r="J14" s="5">
        <v>45597</v>
      </c>
      <c r="K14">
        <f t="shared" si="2"/>
        <v>0.1321296296296296</v>
      </c>
      <c r="L14">
        <f t="shared" si="0"/>
        <v>0.13607440039158106</v>
      </c>
      <c r="M14">
        <f t="shared" si="1"/>
        <v>0.17315606204495101</v>
      </c>
    </row>
    <row r="15" spans="1:13" ht="18" x14ac:dyDescent="0.2">
      <c r="A15" s="5">
        <v>45566</v>
      </c>
      <c r="B15" s="6">
        <v>208.9</v>
      </c>
      <c r="C15" s="6">
        <v>226.75</v>
      </c>
      <c r="D15" s="6">
        <v>204.34</v>
      </c>
      <c r="E15" s="6">
        <v>221.92</v>
      </c>
      <c r="F15" s="6">
        <v>216</v>
      </c>
      <c r="G15" s="7">
        <v>178337400</v>
      </c>
      <c r="J15" s="5">
        <v>45566</v>
      </c>
      <c r="K15">
        <f t="shared" si="2"/>
        <v>5.2477707937436099E-2</v>
      </c>
      <c r="L15">
        <f t="shared" si="0"/>
        <v>6.0747663551401765E-2</v>
      </c>
      <c r="M15">
        <f t="shared" si="1"/>
        <v>0.1493541931962889</v>
      </c>
    </row>
    <row r="16" spans="1:13" ht="18" x14ac:dyDescent="0.2">
      <c r="A16" s="5">
        <v>45536</v>
      </c>
      <c r="B16" s="6">
        <v>222.3</v>
      </c>
      <c r="C16" s="6">
        <v>224.1</v>
      </c>
      <c r="D16" s="6">
        <v>200.61</v>
      </c>
      <c r="E16" s="6">
        <v>210.86</v>
      </c>
      <c r="F16" s="6">
        <v>205.23</v>
      </c>
      <c r="G16" s="7">
        <v>206487600</v>
      </c>
      <c r="J16" s="5">
        <v>45536</v>
      </c>
      <c r="K16">
        <f t="shared" si="2"/>
        <v>-6.2020109689213988E-2</v>
      </c>
      <c r="L16">
        <f t="shared" si="0"/>
        <v>-2.6289180990899875E-2</v>
      </c>
      <c r="M16">
        <f t="shared" si="1"/>
        <v>-2.6562776695590578E-2</v>
      </c>
    </row>
    <row r="17" spans="1:13" ht="18" x14ac:dyDescent="0.2">
      <c r="A17" s="5">
        <v>45505</v>
      </c>
      <c r="B17" s="6">
        <v>213.2</v>
      </c>
      <c r="C17" s="6">
        <v>225.48</v>
      </c>
      <c r="D17" s="6">
        <v>190.9</v>
      </c>
      <c r="E17" s="6">
        <v>224.8</v>
      </c>
      <c r="F17" s="6">
        <v>218.8</v>
      </c>
      <c r="G17" s="7">
        <v>172435900</v>
      </c>
      <c r="J17" s="5">
        <v>45505</v>
      </c>
      <c r="K17">
        <f t="shared" si="2"/>
        <v>6.2239052335178284E-2</v>
      </c>
      <c r="L17">
        <f t="shared" si="0"/>
        <v>1.0989010989010981E-2</v>
      </c>
      <c r="M17">
        <f t="shared" si="1"/>
        <v>-1.4657127900889955E-2</v>
      </c>
    </row>
    <row r="18" spans="1:13" ht="18" x14ac:dyDescent="0.2">
      <c r="A18" s="5">
        <v>45474</v>
      </c>
      <c r="B18" s="6">
        <v>202.84</v>
      </c>
      <c r="C18" s="6">
        <v>217.56</v>
      </c>
      <c r="D18" s="6">
        <v>202.1</v>
      </c>
      <c r="E18" s="6">
        <v>212.8</v>
      </c>
      <c r="F18" s="6">
        <v>205.98</v>
      </c>
      <c r="G18" s="7">
        <v>197445800</v>
      </c>
      <c r="J18" s="5">
        <v>45474</v>
      </c>
      <c r="K18">
        <f t="shared" si="2"/>
        <v>5.2099295127183518E-2</v>
      </c>
      <c r="L18">
        <f t="shared" si="0"/>
        <v>1.9807140995569589E-2</v>
      </c>
      <c r="M18">
        <f t="shared" si="1"/>
        <v>-8.7168758716870917E-4</v>
      </c>
    </row>
    <row r="19" spans="1:13" ht="18" x14ac:dyDescent="0.2">
      <c r="A19" s="5">
        <v>45444</v>
      </c>
      <c r="B19" s="6">
        <v>202.31</v>
      </c>
      <c r="C19" s="6">
        <v>202.6</v>
      </c>
      <c r="D19" s="6">
        <v>190.88</v>
      </c>
      <c r="E19" s="6">
        <v>202.26</v>
      </c>
      <c r="F19" s="6">
        <v>195.78</v>
      </c>
      <c r="G19" s="7">
        <v>174847900</v>
      </c>
      <c r="J19" s="5">
        <v>45444</v>
      </c>
      <c r="K19">
        <f t="shared" si="2"/>
        <v>-1.7845306684341729E-3</v>
      </c>
      <c r="L19">
        <f t="shared" si="0"/>
        <v>-5.4432348367029777E-3</v>
      </c>
      <c r="M19">
        <f t="shared" si="1"/>
        <v>-3.1282586027111528E-3</v>
      </c>
    </row>
    <row r="20" spans="1:13" ht="18" x14ac:dyDescent="0.2">
      <c r="A20" s="5">
        <v>45413</v>
      </c>
      <c r="B20" s="6">
        <v>192.27</v>
      </c>
      <c r="C20" s="6">
        <v>205.88</v>
      </c>
      <c r="D20" s="6">
        <v>188.46</v>
      </c>
      <c r="E20" s="6">
        <v>202.63</v>
      </c>
      <c r="F20" s="6">
        <v>196.13</v>
      </c>
      <c r="G20" s="7">
        <v>195900400</v>
      </c>
      <c r="J20" s="5">
        <v>45413</v>
      </c>
      <c r="K20">
        <f t="shared" si="2"/>
        <v>6.2920008671146679E-2</v>
      </c>
      <c r="L20">
        <f t="shared" si="0"/>
        <v>8.03696443573228E-2</v>
      </c>
      <c r="M20">
        <f t="shared" si="1"/>
        <v>1.0182584269662891E-2</v>
      </c>
    </row>
    <row r="21" spans="1:13" ht="18" x14ac:dyDescent="0.2">
      <c r="A21" s="5">
        <v>45383</v>
      </c>
      <c r="B21" s="6">
        <v>199.99</v>
      </c>
      <c r="C21" s="6">
        <v>200.94</v>
      </c>
      <c r="D21" s="6">
        <v>179.2</v>
      </c>
      <c r="E21" s="6">
        <v>191.74</v>
      </c>
      <c r="F21" s="6">
        <v>184.52</v>
      </c>
      <c r="G21" s="7">
        <v>224749100</v>
      </c>
      <c r="J21" s="5">
        <v>45383</v>
      </c>
      <c r="K21">
        <f t="shared" si="2"/>
        <v>-4.2697795071335871E-2</v>
      </c>
      <c r="L21">
        <f t="shared" si="0"/>
        <v>-2.405028696365134E-2</v>
      </c>
      <c r="M21">
        <f t="shared" si="1"/>
        <v>2.353998203054811E-2</v>
      </c>
    </row>
    <row r="22" spans="1:13" ht="18" x14ac:dyDescent="0.2">
      <c r="A22" s="5">
        <v>45352</v>
      </c>
      <c r="B22" s="6">
        <v>185.7</v>
      </c>
      <c r="C22" s="6">
        <v>200.72</v>
      </c>
      <c r="D22" s="6">
        <v>184.27</v>
      </c>
      <c r="E22" s="6">
        <v>200.3</v>
      </c>
      <c r="F22" s="6">
        <v>192.75</v>
      </c>
      <c r="G22" s="7">
        <v>166255900</v>
      </c>
      <c r="J22" s="5">
        <v>45352</v>
      </c>
      <c r="K22">
        <f t="shared" si="2"/>
        <v>7.6514939960904707E-2</v>
      </c>
      <c r="L22">
        <f t="shared" si="0"/>
        <v>0.10644088297550659</v>
      </c>
      <c r="M22">
        <f t="shared" si="1"/>
        <v>4.9801924165251851E-2</v>
      </c>
    </row>
    <row r="23" spans="1:13" ht="18" x14ac:dyDescent="0.2">
      <c r="A23" s="5">
        <v>45323</v>
      </c>
      <c r="B23" s="6">
        <v>173.64</v>
      </c>
      <c r="C23" s="6">
        <v>186.43</v>
      </c>
      <c r="D23" s="6">
        <v>171.43</v>
      </c>
      <c r="E23" s="6">
        <v>186.06</v>
      </c>
      <c r="F23" s="6">
        <v>179.05</v>
      </c>
      <c r="G23" s="7">
        <v>154730900</v>
      </c>
      <c r="J23" s="5">
        <v>45323</v>
      </c>
      <c r="K23">
        <f t="shared" si="2"/>
        <v>7.3698728711921457E-2</v>
      </c>
      <c r="L23">
        <f t="shared" si="0"/>
        <v>1.5039901780233334E-2</v>
      </c>
      <c r="M23">
        <f t="shared" si="1"/>
        <v>0.10783699059561121</v>
      </c>
    </row>
    <row r="24" spans="1:13" ht="18" x14ac:dyDescent="0.2">
      <c r="A24" s="5">
        <v>45292</v>
      </c>
      <c r="B24" s="6">
        <v>169.09</v>
      </c>
      <c r="C24" s="6">
        <v>178.3</v>
      </c>
      <c r="D24" s="6">
        <v>164.3</v>
      </c>
      <c r="E24" s="6">
        <v>174.36</v>
      </c>
      <c r="F24" s="6">
        <v>166.76</v>
      </c>
      <c r="G24" s="7">
        <v>231656800</v>
      </c>
      <c r="J24" s="5">
        <v>45292</v>
      </c>
      <c r="K24">
        <f t="shared" si="2"/>
        <v>2.5016903313049316E-2</v>
      </c>
      <c r="L24">
        <f t="shared" si="0"/>
        <v>9.9194048357098673E-3</v>
      </c>
      <c r="M24">
        <f t="shared" si="1"/>
        <v>1.9603665033027951E-2</v>
      </c>
    </row>
    <row r="25" spans="1:13" ht="18" x14ac:dyDescent="0.2">
      <c r="A25" s="5">
        <v>45261</v>
      </c>
      <c r="B25" s="6">
        <v>155.82</v>
      </c>
      <c r="C25" s="6">
        <v>170.69</v>
      </c>
      <c r="D25" s="6">
        <v>155.82</v>
      </c>
      <c r="E25" s="6">
        <v>170.1</v>
      </c>
      <c r="F25" s="6">
        <v>162.69</v>
      </c>
      <c r="G25" s="7">
        <v>184769100</v>
      </c>
      <c r="J25" s="5">
        <v>45261</v>
      </c>
      <c r="K25">
        <f t="shared" si="2"/>
        <v>8.9831189710610909E-2</v>
      </c>
      <c r="L25">
        <f t="shared" si="0"/>
        <v>0.11318150448585222</v>
      </c>
      <c r="M25">
        <f t="shared" si="1"/>
        <v>0.11366872330327478</v>
      </c>
    </row>
    <row r="26" spans="1:13" ht="18" x14ac:dyDescent="0.2">
      <c r="A26" s="5">
        <v>45231</v>
      </c>
      <c r="B26" s="6">
        <v>139.25</v>
      </c>
      <c r="C26" s="6">
        <v>156.13</v>
      </c>
      <c r="D26" s="6">
        <v>138.47</v>
      </c>
      <c r="E26" s="6">
        <v>156.08000000000001</v>
      </c>
      <c r="F26" s="6">
        <v>149.28</v>
      </c>
      <c r="G26" s="7">
        <v>162193400</v>
      </c>
      <c r="J26" s="5">
        <v>45231</v>
      </c>
      <c r="K26">
        <f t="shared" si="2"/>
        <v>0.13065212451715519</v>
      </c>
      <c r="L26">
        <f t="shared" si="0"/>
        <v>0.15734824281150164</v>
      </c>
      <c r="M26">
        <f t="shared" si="1"/>
        <v>0.12104283054003716</v>
      </c>
    </row>
    <row r="27" spans="1:13" ht="18" x14ac:dyDescent="0.2">
      <c r="A27" s="5">
        <v>45200</v>
      </c>
      <c r="B27" s="6">
        <v>144.83000000000001</v>
      </c>
      <c r="C27" s="6">
        <v>153.11000000000001</v>
      </c>
      <c r="D27" s="6">
        <v>135.19</v>
      </c>
      <c r="E27" s="6">
        <v>139.06</v>
      </c>
      <c r="F27" s="6">
        <v>132.03</v>
      </c>
      <c r="G27" s="7">
        <v>244013000</v>
      </c>
      <c r="J27" s="5">
        <v>45200</v>
      </c>
      <c r="K27">
        <f t="shared" si="2"/>
        <v>-4.1106834192751809E-2</v>
      </c>
      <c r="L27">
        <f t="shared" si="0"/>
        <v>-3.7663335895465042E-2</v>
      </c>
      <c r="M27">
        <f t="shared" si="1"/>
        <v>-2.6670119109269655E-2</v>
      </c>
    </row>
    <row r="28" spans="1:13" ht="18" x14ac:dyDescent="0.2">
      <c r="A28" s="5">
        <v>45170</v>
      </c>
      <c r="B28" s="6">
        <v>146.09</v>
      </c>
      <c r="C28" s="6">
        <v>150.25</v>
      </c>
      <c r="D28" s="6">
        <v>142.65</v>
      </c>
      <c r="E28" s="6">
        <v>145.02000000000001</v>
      </c>
      <c r="F28" s="6">
        <v>137.69</v>
      </c>
      <c r="G28" s="7">
        <v>172239300</v>
      </c>
      <c r="J28" s="5">
        <v>45170</v>
      </c>
      <c r="K28">
        <f t="shared" si="2"/>
        <v>-8.9253580940042397E-3</v>
      </c>
      <c r="L28">
        <f t="shared" si="0"/>
        <v>-3.7009622501850484E-2</v>
      </c>
      <c r="M28">
        <f t="shared" si="1"/>
        <v>-2.5826446280992105E-3</v>
      </c>
    </row>
    <row r="29" spans="1:13" ht="18" x14ac:dyDescent="0.2">
      <c r="A29" s="5">
        <v>45139</v>
      </c>
      <c r="B29" s="6">
        <v>157.43</v>
      </c>
      <c r="C29" s="6">
        <v>158</v>
      </c>
      <c r="D29" s="6">
        <v>145.46</v>
      </c>
      <c r="E29" s="6">
        <v>146.33000000000001</v>
      </c>
      <c r="F29" s="6">
        <v>138.93</v>
      </c>
      <c r="G29" s="7">
        <v>169299800</v>
      </c>
      <c r="J29" s="5">
        <v>45139</v>
      </c>
      <c r="K29">
        <f t="shared" si="2"/>
        <v>-6.7270896273917302E-2</v>
      </c>
      <c r="L29">
        <f t="shared" si="0"/>
        <v>-0.10411140583554379</v>
      </c>
      <c r="M29">
        <f t="shared" si="1"/>
        <v>-0.10556710556710558</v>
      </c>
    </row>
    <row r="30" spans="1:13" ht="18" x14ac:dyDescent="0.2">
      <c r="A30" s="5">
        <v>45108</v>
      </c>
      <c r="B30" s="6">
        <v>146.19</v>
      </c>
      <c r="C30" s="6">
        <v>159.38</v>
      </c>
      <c r="D30" s="6">
        <v>141.44</v>
      </c>
      <c r="E30" s="6">
        <v>157.96</v>
      </c>
      <c r="F30" s="6">
        <v>148.94999999999999</v>
      </c>
      <c r="G30" s="7">
        <v>231261000</v>
      </c>
      <c r="J30" s="5">
        <v>45108</v>
      </c>
      <c r="K30">
        <f t="shared" si="2"/>
        <v>8.6116377424529697E-2</v>
      </c>
      <c r="L30">
        <f t="shared" si="0"/>
        <v>0.12411479686917637</v>
      </c>
      <c r="M30">
        <f t="shared" si="1"/>
        <v>8.1709145427286245E-2</v>
      </c>
    </row>
    <row r="31" spans="1:13" ht="18" x14ac:dyDescent="0.2">
      <c r="A31" s="5">
        <v>45078</v>
      </c>
      <c r="B31" s="6">
        <v>136.52000000000001</v>
      </c>
      <c r="C31" s="6">
        <v>146</v>
      </c>
      <c r="D31" s="6">
        <v>135.44999999999999</v>
      </c>
      <c r="E31" s="6">
        <v>145.44</v>
      </c>
      <c r="F31" s="6">
        <v>137.13999999999999</v>
      </c>
      <c r="G31" s="7">
        <v>206562200</v>
      </c>
      <c r="J31" s="5">
        <v>45078</v>
      </c>
      <c r="K31">
        <f t="shared" si="2"/>
        <v>7.1657419707743905E-2</v>
      </c>
      <c r="L31">
        <f t="shared" si="0"/>
        <v>3.2320123124278566E-2</v>
      </c>
      <c r="M31">
        <f t="shared" si="1"/>
        <v>8.045356371490292E-2</v>
      </c>
    </row>
    <row r="32" spans="1:13" ht="18" x14ac:dyDescent="0.2">
      <c r="A32" s="5">
        <v>45047</v>
      </c>
      <c r="B32" s="6">
        <v>142.26</v>
      </c>
      <c r="C32" s="6">
        <v>143.37</v>
      </c>
      <c r="D32" s="6">
        <v>131.81</v>
      </c>
      <c r="E32" s="6">
        <v>135.71</v>
      </c>
      <c r="F32" s="6">
        <v>127.97</v>
      </c>
      <c r="G32" s="7">
        <v>235306100</v>
      </c>
      <c r="J32" s="5">
        <v>45047</v>
      </c>
      <c r="K32">
        <f t="shared" si="2"/>
        <v>-1.0592237513530266E-2</v>
      </c>
      <c r="L32">
        <f t="shared" si="0"/>
        <v>-5.0766983199415652E-2</v>
      </c>
      <c r="M32">
        <f t="shared" si="1"/>
        <v>1.3517166801837565E-3</v>
      </c>
    </row>
    <row r="33" spans="1:33" ht="18" x14ac:dyDescent="0.2">
      <c r="A33" s="5">
        <v>45017</v>
      </c>
      <c r="B33" s="6">
        <v>129.91</v>
      </c>
      <c r="C33" s="6">
        <v>141.78</v>
      </c>
      <c r="D33" s="6">
        <v>126.22</v>
      </c>
      <c r="E33" s="6">
        <v>138.24</v>
      </c>
      <c r="F33" s="6">
        <v>129.34</v>
      </c>
      <c r="G33" s="7">
        <v>242865000</v>
      </c>
      <c r="J33" s="5">
        <v>45017</v>
      </c>
      <c r="K33">
        <f t="shared" si="2"/>
        <v>6.085958005249345E-2</v>
      </c>
      <c r="L33">
        <f t="shared" si="0"/>
        <v>3.048550997365445E-2</v>
      </c>
      <c r="M33">
        <f t="shared" si="1"/>
        <v>6.3542265669925269E-2</v>
      </c>
    </row>
    <row r="34" spans="1:33" ht="18" x14ac:dyDescent="0.2">
      <c r="A34" s="5">
        <v>44986</v>
      </c>
      <c r="B34" s="6">
        <v>142.1</v>
      </c>
      <c r="C34" s="6">
        <v>144.04</v>
      </c>
      <c r="D34" s="6">
        <v>123.11</v>
      </c>
      <c r="E34" s="6">
        <v>130.31</v>
      </c>
      <c r="F34" s="6">
        <v>121.92</v>
      </c>
      <c r="G34" s="7">
        <v>458474400</v>
      </c>
      <c r="J34" s="5">
        <v>44986</v>
      </c>
      <c r="K34">
        <f t="shared" ref="K34:K60" si="3">(F34-F35)/F35</f>
        <v>-9.0963316433045047E-2</v>
      </c>
      <c r="L34">
        <f t="shared" ref="L34:L60" si="4">(F100-F101)/F101</f>
        <v>-0.16630059617194856</v>
      </c>
      <c r="M34">
        <f t="shared" ref="M34:M60" si="5">(F168-F169)/F169</f>
        <v>-0.19565217391304349</v>
      </c>
    </row>
    <row r="35" spans="1:33" ht="18" x14ac:dyDescent="0.2">
      <c r="A35" s="5">
        <v>44958</v>
      </c>
      <c r="B35" s="6">
        <v>138.21</v>
      </c>
      <c r="C35" s="6">
        <v>144.34</v>
      </c>
      <c r="D35" s="6">
        <v>137.44</v>
      </c>
      <c r="E35" s="6">
        <v>143.35</v>
      </c>
      <c r="F35" s="6">
        <v>134.12</v>
      </c>
      <c r="G35" s="7">
        <v>169562800</v>
      </c>
      <c r="J35" s="5">
        <v>44958</v>
      </c>
      <c r="K35">
        <f t="shared" si="3"/>
        <v>3.1771674744211054E-2</v>
      </c>
      <c r="L35">
        <f t="shared" si="4"/>
        <v>-3.3363663936912279E-2</v>
      </c>
      <c r="M35">
        <f t="shared" si="5"/>
        <v>-2.3073373327180762E-3</v>
      </c>
      <c r="T35" s="1">
        <v>45689</v>
      </c>
      <c r="U35">
        <v>-4.7999999999999996E-3</v>
      </c>
      <c r="V35">
        <v>-4.4000000000000003E-3</v>
      </c>
      <c r="W35">
        <v>-6.1000000000000004E-3</v>
      </c>
    </row>
    <row r="36" spans="1:33" ht="18" x14ac:dyDescent="0.2">
      <c r="A36" s="5">
        <v>44927</v>
      </c>
      <c r="B36" s="6">
        <v>135.24</v>
      </c>
      <c r="C36" s="6">
        <v>143.49</v>
      </c>
      <c r="D36" s="6">
        <v>133.55000000000001</v>
      </c>
      <c r="E36" s="6">
        <v>139.96</v>
      </c>
      <c r="F36" s="6">
        <v>129.99</v>
      </c>
      <c r="G36" s="7">
        <v>209965200</v>
      </c>
      <c r="J36" s="5">
        <v>44927</v>
      </c>
      <c r="K36">
        <f t="shared" si="3"/>
        <v>4.3761040629516641E-2</v>
      </c>
      <c r="L36">
        <f t="shared" si="4"/>
        <v>7.7803203661327203E-2</v>
      </c>
      <c r="M36">
        <f t="shared" si="5"/>
        <v>0.13514929282346788</v>
      </c>
      <c r="T36" s="1">
        <v>45717</v>
      </c>
      <c r="U36">
        <v>-7.3099999999999998E-2</v>
      </c>
      <c r="V36">
        <v>-9.4700000000000006E-2</v>
      </c>
      <c r="W36">
        <v>-7.8899999999999998E-2</v>
      </c>
    </row>
    <row r="37" spans="1:33" ht="18" x14ac:dyDescent="0.2">
      <c r="A37" s="5">
        <v>44896</v>
      </c>
      <c r="B37" s="6">
        <v>138.18</v>
      </c>
      <c r="C37" s="6">
        <v>138.66</v>
      </c>
      <c r="D37" s="6">
        <v>128.41</v>
      </c>
      <c r="E37" s="6">
        <v>134.1</v>
      </c>
      <c r="F37" s="6">
        <v>124.54</v>
      </c>
      <c r="G37" s="7">
        <v>202046000</v>
      </c>
      <c r="J37" s="5">
        <v>44896</v>
      </c>
      <c r="K37">
        <f t="shared" si="3"/>
        <v>-2.9533234629470943E-2</v>
      </c>
      <c r="L37">
        <f t="shared" si="4"/>
        <v>-0.12500000000000003</v>
      </c>
      <c r="M37">
        <f t="shared" si="5"/>
        <v>-0.13325766174801357</v>
      </c>
      <c r="T37" s="1">
        <v>45748</v>
      </c>
      <c r="U37">
        <v>-2.8E-3</v>
      </c>
      <c r="V37">
        <v>-3.8300000000000001E-2</v>
      </c>
      <c r="W37">
        <v>-1.0800000000000001E-2</v>
      </c>
      <c r="Z37" t="s">
        <v>5</v>
      </c>
      <c r="AE37" t="s">
        <v>6</v>
      </c>
    </row>
    <row r="38" spans="1:33" ht="18" x14ac:dyDescent="0.2">
      <c r="A38" s="5">
        <v>44866</v>
      </c>
      <c r="B38" s="6">
        <v>126.87</v>
      </c>
      <c r="C38" s="6">
        <v>138.18</v>
      </c>
      <c r="D38" s="6">
        <v>125.91</v>
      </c>
      <c r="E38" s="6">
        <v>138.18</v>
      </c>
      <c r="F38" s="6">
        <v>128.33000000000001</v>
      </c>
      <c r="G38" s="7">
        <v>227228500</v>
      </c>
      <c r="J38" s="5">
        <v>44866</v>
      </c>
      <c r="K38">
        <f t="shared" si="3"/>
        <v>0.10753430568740836</v>
      </c>
      <c r="L38">
        <f t="shared" si="4"/>
        <v>5.0165214779213027E-2</v>
      </c>
      <c r="M38">
        <f t="shared" si="5"/>
        <v>4.2603550295857918E-2</v>
      </c>
      <c r="T38" s="1">
        <v>45778</v>
      </c>
      <c r="U38">
        <v>8.5800000000000001E-2</v>
      </c>
      <c r="V38">
        <v>0.107</v>
      </c>
      <c r="W38">
        <v>5.3100000000000001E-2</v>
      </c>
      <c r="Z38">
        <v>2.2468884000000004E-3</v>
      </c>
      <c r="AA38">
        <v>2.2019761999999997E-3</v>
      </c>
      <c r="AB38">
        <v>1.6926644000000005E-3</v>
      </c>
      <c r="AE38">
        <f>0.002246888/(U49^2)</f>
        <v>0.89999983977842413</v>
      </c>
      <c r="AF38">
        <f>AA38/(U49*V49)</f>
        <v>0.7473181394448829</v>
      </c>
      <c r="AG38">
        <f>AB38/(U49*W49)</f>
        <v>0.80235339846038567</v>
      </c>
    </row>
    <row r="39" spans="1:33" ht="18" x14ac:dyDescent="0.2">
      <c r="A39" s="5">
        <v>44835</v>
      </c>
      <c r="B39" s="6">
        <v>105.62</v>
      </c>
      <c r="C39" s="6">
        <v>127.43</v>
      </c>
      <c r="D39" s="6">
        <v>101.28</v>
      </c>
      <c r="E39" s="6">
        <v>125.88</v>
      </c>
      <c r="F39" s="6">
        <v>115.87</v>
      </c>
      <c r="G39" s="7">
        <v>318197200</v>
      </c>
      <c r="J39" s="5">
        <v>44835</v>
      </c>
      <c r="K39">
        <f t="shared" si="3"/>
        <v>0.20459507225283302</v>
      </c>
      <c r="L39">
        <f t="shared" si="4"/>
        <v>0.20137134608444598</v>
      </c>
      <c r="M39">
        <f t="shared" si="5"/>
        <v>0.14343707713125836</v>
      </c>
      <c r="T39" s="1">
        <v>45809</v>
      </c>
      <c r="U39">
        <v>9.8100000000000007E-2</v>
      </c>
      <c r="V39">
        <v>7.22E-2</v>
      </c>
      <c r="W39">
        <v>7.7200000000000005E-2</v>
      </c>
      <c r="Z39">
        <v>2.2019761999999997E-3</v>
      </c>
      <c r="AA39">
        <v>3.1298081000000005E-3</v>
      </c>
      <c r="AB39">
        <v>2.0319731999999995E-3</v>
      </c>
      <c r="AE39">
        <f>Z39/(U49*V49)</f>
        <v>0.7473181394448829</v>
      </c>
      <c r="AF39">
        <f>AA39/(V49^2)</f>
        <v>0.89999999999999991</v>
      </c>
      <c r="AG39">
        <f>AB39/(V49*W49)</f>
        <v>0.81610249925595768</v>
      </c>
    </row>
    <row r="40" spans="1:33" ht="18" x14ac:dyDescent="0.2">
      <c r="A40" s="5">
        <v>44805</v>
      </c>
      <c r="B40" s="6">
        <v>113.29</v>
      </c>
      <c r="C40" s="6">
        <v>121.55</v>
      </c>
      <c r="D40" s="6">
        <v>104.4</v>
      </c>
      <c r="E40" s="6">
        <v>104.5</v>
      </c>
      <c r="F40" s="6">
        <v>96.19</v>
      </c>
      <c r="G40" s="7">
        <v>248558100</v>
      </c>
      <c r="J40" s="5">
        <v>44805</v>
      </c>
      <c r="K40">
        <f t="shared" si="3"/>
        <v>-8.1192090935141847E-2</v>
      </c>
      <c r="L40">
        <f t="shared" si="4"/>
        <v>-0.10149156939040205</v>
      </c>
      <c r="M40">
        <f t="shared" si="5"/>
        <v>-7.3470411233701086E-2</v>
      </c>
      <c r="T40" s="1">
        <v>45839</v>
      </c>
      <c r="U40">
        <v>2.18E-2</v>
      </c>
      <c r="V40">
        <v>4.8999999999999998E-3</v>
      </c>
      <c r="W40">
        <v>6.4000000000000003E-3</v>
      </c>
      <c r="Z40">
        <v>1.6926644000000005E-3</v>
      </c>
      <c r="AA40">
        <v>2.0319731999999995E-3</v>
      </c>
      <c r="AB40">
        <v>1.6044043999999999E-3</v>
      </c>
      <c r="AE40">
        <f>Z40/(U49*W49)</f>
        <v>0.80235339846038567</v>
      </c>
      <c r="AF40">
        <f>AA40/(V49*W49)</f>
        <v>0.81610249925595768</v>
      </c>
      <c r="AG40">
        <f>AB40/W49^2</f>
        <v>0.89999999999999991</v>
      </c>
    </row>
    <row r="41" spans="1:33" ht="18" x14ac:dyDescent="0.2">
      <c r="A41" s="5">
        <v>44774</v>
      </c>
      <c r="B41" s="6">
        <v>114.5</v>
      </c>
      <c r="C41" s="6">
        <v>124.24</v>
      </c>
      <c r="D41" s="6">
        <v>111.02</v>
      </c>
      <c r="E41" s="6">
        <v>113.73</v>
      </c>
      <c r="F41" s="6">
        <v>104.69</v>
      </c>
      <c r="G41" s="7">
        <v>258430300</v>
      </c>
      <c r="J41" s="5">
        <v>44774</v>
      </c>
      <c r="K41">
        <f t="shared" si="3"/>
        <v>-5.4151624548737162E-3</v>
      </c>
      <c r="L41">
        <f t="shared" si="4"/>
        <v>-6.1231066709636246E-3</v>
      </c>
      <c r="M41">
        <f t="shared" si="5"/>
        <v>-3.7471896077941186E-3</v>
      </c>
      <c r="T41" s="1">
        <v>45870</v>
      </c>
      <c r="U41">
        <v>2.24E-2</v>
      </c>
      <c r="V41">
        <v>7.3400000000000007E-2</v>
      </c>
      <c r="W41">
        <v>1.9199999999999998E-2</v>
      </c>
    </row>
    <row r="42" spans="1:33" ht="18" x14ac:dyDescent="0.2">
      <c r="A42" s="5">
        <v>44743</v>
      </c>
      <c r="B42" s="6">
        <v>112.65</v>
      </c>
      <c r="C42" s="6">
        <v>116.5</v>
      </c>
      <c r="D42" s="6">
        <v>106.06</v>
      </c>
      <c r="E42" s="6">
        <v>115.36</v>
      </c>
      <c r="F42" s="6">
        <v>105.26</v>
      </c>
      <c r="G42" s="7">
        <v>239623100</v>
      </c>
      <c r="J42" s="5">
        <v>44743</v>
      </c>
      <c r="K42">
        <f t="shared" si="3"/>
        <v>2.4428223844282289E-2</v>
      </c>
      <c r="L42">
        <f t="shared" si="4"/>
        <v>9.2605633802817E-2</v>
      </c>
      <c r="M42">
        <f t="shared" si="5"/>
        <v>0.12003357582540568</v>
      </c>
      <c r="T42" s="1">
        <v>45901</v>
      </c>
      <c r="U42">
        <v>4.65E-2</v>
      </c>
      <c r="V42">
        <v>1.66E-2</v>
      </c>
      <c r="W42">
        <v>2.5899999999999999E-2</v>
      </c>
    </row>
    <row r="43" spans="1:33" ht="18" x14ac:dyDescent="0.2">
      <c r="A43" s="5">
        <v>44713</v>
      </c>
      <c r="B43" s="6">
        <v>132.87</v>
      </c>
      <c r="C43" s="6">
        <v>132.87</v>
      </c>
      <c r="D43" s="6">
        <v>110.93</v>
      </c>
      <c r="E43" s="6">
        <v>112.61</v>
      </c>
      <c r="F43" s="6">
        <v>102.75</v>
      </c>
      <c r="G43" s="7">
        <v>268201900</v>
      </c>
      <c r="J43" s="5">
        <v>44713</v>
      </c>
      <c r="K43">
        <f t="shared" si="3"/>
        <v>-0.14836303356817243</v>
      </c>
      <c r="L43">
        <f t="shared" si="4"/>
        <v>-0.1632292280494991</v>
      </c>
      <c r="M43">
        <f t="shared" si="5"/>
        <v>-0.1394172887069588</v>
      </c>
      <c r="T43" s="1">
        <v>45931</v>
      </c>
      <c r="U43">
        <v>-1.37E-2</v>
      </c>
      <c r="V43">
        <v>4.19E-2</v>
      </c>
      <c r="W43">
        <v>3.7600000000000001E-2</v>
      </c>
      <c r="Z43" t="s">
        <v>4</v>
      </c>
      <c r="AC43" cm="1">
        <f t="array" ref="AC43:AE45">MINVERSE(Z38:AB40)</f>
        <v>2197.7274639949037</v>
      </c>
      <c r="AD43">
        <v>-230.0042674258664</v>
      </c>
      <c r="AE43">
        <v>-2027.3271077488091</v>
      </c>
      <c r="AG43">
        <v>1</v>
      </c>
    </row>
    <row r="44" spans="1:33" ht="18" x14ac:dyDescent="0.2">
      <c r="A44" s="5">
        <v>44682</v>
      </c>
      <c r="B44" s="6">
        <v>119.88</v>
      </c>
      <c r="C44" s="6">
        <v>133.15</v>
      </c>
      <c r="D44" s="6">
        <v>115.02</v>
      </c>
      <c r="E44" s="6">
        <v>132.22999999999999</v>
      </c>
      <c r="F44" s="6">
        <v>120.65</v>
      </c>
      <c r="G44" s="7">
        <v>313630400</v>
      </c>
      <c r="J44" s="5">
        <v>44682</v>
      </c>
      <c r="K44">
        <f t="shared" si="3"/>
        <v>0.11599297012302291</v>
      </c>
      <c r="L44">
        <f t="shared" si="4"/>
        <v>4.2383292383292241E-2</v>
      </c>
      <c r="M44">
        <f t="shared" si="5"/>
        <v>4.9002273301338661E-2</v>
      </c>
      <c r="T44" s="1">
        <v>45962</v>
      </c>
      <c r="U44">
        <v>-8.0000000000000004E-4</v>
      </c>
      <c r="V44">
        <v>2.0999999999999999E-3</v>
      </c>
      <c r="W44">
        <v>3.8E-3</v>
      </c>
      <c r="AC44">
        <v>-230.00426742586524</v>
      </c>
      <c r="AD44">
        <v>1821.5967165715058</v>
      </c>
      <c r="AE44">
        <v>-2064.3895478979321</v>
      </c>
      <c r="AG44">
        <v>1</v>
      </c>
    </row>
    <row r="45" spans="1:33" ht="18" x14ac:dyDescent="0.2">
      <c r="A45" s="5">
        <v>44652</v>
      </c>
      <c r="B45" s="6">
        <v>137.4</v>
      </c>
      <c r="C45" s="6">
        <v>137.41</v>
      </c>
      <c r="D45" s="6">
        <v>118.9</v>
      </c>
      <c r="E45" s="6">
        <v>119.36</v>
      </c>
      <c r="F45" s="6">
        <v>108.11</v>
      </c>
      <c r="G45" s="7">
        <v>303650400</v>
      </c>
      <c r="J45" s="5">
        <v>44652</v>
      </c>
      <c r="K45">
        <f t="shared" si="3"/>
        <v>-0.12440268891228638</v>
      </c>
      <c r="L45">
        <f t="shared" si="4"/>
        <v>-0.13010953780390055</v>
      </c>
      <c r="M45">
        <f t="shared" si="5"/>
        <v>-9.9613372754150456E-2</v>
      </c>
      <c r="AC45">
        <v>-2027.3271077488105</v>
      </c>
      <c r="AD45">
        <v>-2064.3895478979307</v>
      </c>
      <c r="AE45">
        <v>5376.6797561326111</v>
      </c>
      <c r="AG45">
        <v>1</v>
      </c>
    </row>
    <row r="46" spans="1:33" ht="18" x14ac:dyDescent="0.2">
      <c r="A46" s="5">
        <v>44621</v>
      </c>
      <c r="B46" s="6">
        <v>140.04</v>
      </c>
      <c r="C46" s="6">
        <v>143.93</v>
      </c>
      <c r="D46" s="6">
        <v>127.27</v>
      </c>
      <c r="E46" s="6">
        <v>136.32</v>
      </c>
      <c r="F46" s="6">
        <v>123.47</v>
      </c>
      <c r="G46" s="7">
        <v>390796800</v>
      </c>
      <c r="J46" s="5">
        <v>44621</v>
      </c>
      <c r="K46">
        <f t="shared" si="3"/>
        <v>-3.8620260063848069E-2</v>
      </c>
      <c r="L46">
        <f t="shared" si="4"/>
        <v>-6.728133565910796E-2</v>
      </c>
      <c r="M46">
        <f t="shared" si="5"/>
        <v>-8.7948558390375478E-2</v>
      </c>
      <c r="U46">
        <f>AVERAGE(U35:U44)</f>
        <v>1.7940000000000005E-2</v>
      </c>
      <c r="V46">
        <f>AVERAGE(V35:V44)</f>
        <v>1.8069999999999996E-2</v>
      </c>
      <c r="W46">
        <f>AVERAGE(W35:W44)</f>
        <v>1.2740000000000001E-2</v>
      </c>
    </row>
    <row r="47" spans="1:33" ht="18" x14ac:dyDescent="0.2">
      <c r="A47" s="5">
        <v>44593</v>
      </c>
      <c r="B47" s="6">
        <v>148.69</v>
      </c>
      <c r="C47" s="6">
        <v>159.03</v>
      </c>
      <c r="D47" s="6">
        <v>139.78</v>
      </c>
      <c r="E47" s="6">
        <v>141.80000000000001</v>
      </c>
      <c r="F47" s="6">
        <v>128.43</v>
      </c>
      <c r="G47" s="7">
        <v>288730100</v>
      </c>
      <c r="J47" s="5">
        <v>44593</v>
      </c>
      <c r="K47">
        <f t="shared" si="3"/>
        <v>-4.0062784961506732E-2</v>
      </c>
      <c r="L47">
        <f t="shared" si="4"/>
        <v>-4.2014800668417236E-2</v>
      </c>
      <c r="M47">
        <f t="shared" si="5"/>
        <v>-8.0246913580247024E-3</v>
      </c>
      <c r="T47" t="s">
        <v>0</v>
      </c>
      <c r="U47" s="2">
        <v>1.7999999999999999E-2</v>
      </c>
      <c r="V47" s="2">
        <v>1.7999999999999999E-2</v>
      </c>
      <c r="W47" s="2">
        <v>1.2699999999999999E-2</v>
      </c>
      <c r="AE47" cm="1">
        <f t="array" ref="AE47:AE49">MMULT(MINVERSE(Z38:AB40),AG43:AG45)</f>
        <v>-59.603911179771785</v>
      </c>
    </row>
    <row r="48" spans="1:33" ht="18" x14ac:dyDescent="0.2">
      <c r="A48" s="5">
        <v>44562</v>
      </c>
      <c r="B48" s="6">
        <v>159.86000000000001</v>
      </c>
      <c r="C48" s="6">
        <v>169.81</v>
      </c>
      <c r="D48" s="6">
        <v>139.57</v>
      </c>
      <c r="E48" s="6">
        <v>148.6</v>
      </c>
      <c r="F48" s="6">
        <v>133.79</v>
      </c>
      <c r="G48" s="7">
        <v>373950200</v>
      </c>
      <c r="J48" s="5">
        <v>44562</v>
      </c>
      <c r="K48">
        <f t="shared" si="3"/>
        <v>-6.1583783404643343E-2</v>
      </c>
      <c r="L48">
        <f t="shared" si="4"/>
        <v>4.2039800995024815E-2</v>
      </c>
      <c r="M48">
        <f t="shared" si="5"/>
        <v>0.12136594370096902</v>
      </c>
      <c r="AE48">
        <v>-472.7970987522915</v>
      </c>
    </row>
    <row r="49" spans="1:32" ht="18" x14ac:dyDescent="0.2">
      <c r="A49" s="5">
        <v>44531</v>
      </c>
      <c r="B49" s="6">
        <v>161</v>
      </c>
      <c r="C49" s="6">
        <v>163.38999999999999</v>
      </c>
      <c r="D49" s="6">
        <v>151.84</v>
      </c>
      <c r="E49" s="6">
        <v>158.35</v>
      </c>
      <c r="F49" s="6">
        <v>142.57</v>
      </c>
      <c r="G49" s="7">
        <v>251966400</v>
      </c>
      <c r="J49" s="5">
        <v>44531</v>
      </c>
      <c r="K49">
        <f t="shared" si="3"/>
        <v>-3.0069930069930545E-3</v>
      </c>
      <c r="L49">
        <f t="shared" si="4"/>
        <v>4.9776007964169057E-4</v>
      </c>
      <c r="M49">
        <f t="shared" si="5"/>
        <v>7.9069767441861255E-3</v>
      </c>
      <c r="T49" t="s">
        <v>1</v>
      </c>
      <c r="U49">
        <f>_xlfn.STDEV.S(U35:U44)</f>
        <v>4.9965414705240532E-2</v>
      </c>
      <c r="V49">
        <f>STDEV(V35:V44)</f>
        <v>5.8970878877252254E-2</v>
      </c>
      <c r="W49">
        <f>STDEV(W35:W44)</f>
        <v>4.2221695318349732E-2</v>
      </c>
      <c r="AE49">
        <v>1284.9631004858702</v>
      </c>
    </row>
    <row r="50" spans="1:32" ht="18" x14ac:dyDescent="0.2">
      <c r="A50" s="5">
        <v>44501</v>
      </c>
      <c r="B50" s="6">
        <v>172.04</v>
      </c>
      <c r="C50" s="6">
        <v>172.33</v>
      </c>
      <c r="D50" s="6">
        <v>158.29</v>
      </c>
      <c r="E50" s="6">
        <v>158.83000000000001</v>
      </c>
      <c r="F50" s="6">
        <v>143</v>
      </c>
      <c r="G50" s="7">
        <v>203498400</v>
      </c>
      <c r="J50" s="5">
        <v>44501</v>
      </c>
      <c r="K50">
        <f t="shared" si="3"/>
        <v>-5.9458037358589795E-2</v>
      </c>
      <c r="L50">
        <f t="shared" si="4"/>
        <v>-6.9476609541454376E-2</v>
      </c>
      <c r="M50">
        <f t="shared" si="5"/>
        <v>-6.6029539530842729E-2</v>
      </c>
    </row>
    <row r="51" spans="1:32" ht="18" x14ac:dyDescent="0.2">
      <c r="A51" s="5">
        <v>44470</v>
      </c>
      <c r="B51" s="6">
        <v>164</v>
      </c>
      <c r="C51" s="6">
        <v>172.96</v>
      </c>
      <c r="D51" s="6">
        <v>160.06</v>
      </c>
      <c r="E51" s="6">
        <v>169.89</v>
      </c>
      <c r="F51" s="6">
        <v>152.04</v>
      </c>
      <c r="G51" s="7">
        <v>231680800</v>
      </c>
      <c r="J51" s="5">
        <v>44470</v>
      </c>
      <c r="K51">
        <f t="shared" si="3"/>
        <v>3.7886545156665868E-2</v>
      </c>
      <c r="L51">
        <f t="shared" si="4"/>
        <v>0.13155136268343826</v>
      </c>
      <c r="M51">
        <f t="shared" si="5"/>
        <v>0.10249042145593873</v>
      </c>
      <c r="T51" t="s">
        <v>2</v>
      </c>
      <c r="U51">
        <f>_xlfn.COVARIANCE.P(U35:U44,V35:V44)</f>
        <v>2.2019761999999997E-3</v>
      </c>
      <c r="V51">
        <f>_xlfn.COVARIANCE.P(V35:V44,W35:W44)</f>
        <v>2.0319731999999995E-3</v>
      </c>
      <c r="W51">
        <f>_xlfn.COVARIANCE.P(U35:U44,W35:W44)</f>
        <v>1.6926644000000005E-3</v>
      </c>
      <c r="Y51">
        <f>_xlfn.COVARIANCE.P(U35:U44,U35:U44)</f>
        <v>2.2468884000000004E-3</v>
      </c>
      <c r="Z51">
        <f>_xlfn.COVARIANCE.P(V35:V44,V35:V44)</f>
        <v>3.1298081000000005E-3</v>
      </c>
      <c r="AA51">
        <f>_xlfn.COVARIANCE.P(W35:W44,W35:W44)</f>
        <v>1.6044043999999999E-3</v>
      </c>
    </row>
    <row r="52" spans="1:32" ht="18" x14ac:dyDescent="0.2">
      <c r="A52" s="5">
        <v>44440</v>
      </c>
      <c r="B52" s="6">
        <v>160.22</v>
      </c>
      <c r="C52" s="6">
        <v>169.3</v>
      </c>
      <c r="D52" s="6">
        <v>150.49</v>
      </c>
      <c r="E52" s="6">
        <v>163.69</v>
      </c>
      <c r="F52" s="6">
        <v>146.49</v>
      </c>
      <c r="G52" s="7">
        <v>234791100</v>
      </c>
      <c r="J52" s="5">
        <v>44440</v>
      </c>
      <c r="K52">
        <f t="shared" si="3"/>
        <v>2.3332169053440471E-2</v>
      </c>
      <c r="L52">
        <f t="shared" si="4"/>
        <v>1.6786570743405154E-2</v>
      </c>
      <c r="M52">
        <f t="shared" si="5"/>
        <v>1.9780219780219661E-2</v>
      </c>
      <c r="U52" s="3">
        <v>4.3055555555555555E-2</v>
      </c>
      <c r="V52" s="3">
        <v>8.5416666666666669E-2</v>
      </c>
      <c r="W52" s="3">
        <v>4.3749999999999997E-2</v>
      </c>
      <c r="Y52" s="3">
        <v>4.2361111111111113E-2</v>
      </c>
      <c r="Z52" s="3">
        <v>8.4722222222222227E-2</v>
      </c>
      <c r="AA52" s="3">
        <v>0.12708333333333333</v>
      </c>
      <c r="AF52">
        <f>AE47 / SUM(_xlfn.ANCHORARRAY(AE47))</f>
        <v>-7.9201320300242004E-2</v>
      </c>
    </row>
    <row r="53" spans="1:32" ht="18" x14ac:dyDescent="0.2">
      <c r="A53" s="5">
        <v>44409</v>
      </c>
      <c r="B53" s="6">
        <v>152.03</v>
      </c>
      <c r="C53" s="6">
        <v>163.83000000000001</v>
      </c>
      <c r="D53" s="6">
        <v>149.52000000000001</v>
      </c>
      <c r="E53" s="6">
        <v>159.94999999999999</v>
      </c>
      <c r="F53" s="6">
        <v>143.15</v>
      </c>
      <c r="G53" s="7">
        <v>208085700</v>
      </c>
      <c r="J53" s="5">
        <v>44409</v>
      </c>
      <c r="K53">
        <f t="shared" si="3"/>
        <v>5.9899304013031271E-2</v>
      </c>
      <c r="L53">
        <f t="shared" si="4"/>
        <v>8.8141490287039687E-2</v>
      </c>
      <c r="M53">
        <f t="shared" si="5"/>
        <v>-5.1020408163263793E-3</v>
      </c>
      <c r="AF53">
        <f>AE48/SUM(_xlfn.ANCHORARRAY(AE47))</f>
        <v>-0.62824995397305006</v>
      </c>
    </row>
    <row r="54" spans="1:32" ht="18" x14ac:dyDescent="0.2">
      <c r="A54" s="5">
        <v>44378</v>
      </c>
      <c r="B54" s="6">
        <v>156.26</v>
      </c>
      <c r="C54" s="6">
        <v>159.16</v>
      </c>
      <c r="D54" s="6">
        <v>145.71</v>
      </c>
      <c r="E54" s="6">
        <v>151.78</v>
      </c>
      <c r="F54" s="6">
        <v>135.06</v>
      </c>
      <c r="G54" s="7">
        <v>280571500</v>
      </c>
      <c r="J54" s="5">
        <v>44378</v>
      </c>
      <c r="K54">
        <f t="shared" si="3"/>
        <v>-2.4132947976878635E-2</v>
      </c>
      <c r="L54">
        <f t="shared" si="4"/>
        <v>-6.5564887564345559E-2</v>
      </c>
      <c r="M54">
        <f t="shared" si="5"/>
        <v>1.429275505174959E-2</v>
      </c>
      <c r="AF54">
        <f>AE49/SUM(_xlfn.ANCHORARRAY(AE47))</f>
        <v>1.7074512742732921</v>
      </c>
    </row>
    <row r="55" spans="1:32" ht="18" x14ac:dyDescent="0.2">
      <c r="A55" s="5">
        <v>44348</v>
      </c>
      <c r="B55" s="6">
        <v>165.87</v>
      </c>
      <c r="C55" s="6">
        <v>167.44</v>
      </c>
      <c r="D55" s="6">
        <v>147.56</v>
      </c>
      <c r="E55" s="6">
        <v>155.54</v>
      </c>
      <c r="F55" s="6">
        <v>138.4</v>
      </c>
      <c r="G55" s="7">
        <v>356723300</v>
      </c>
      <c r="J55" s="5">
        <v>44348</v>
      </c>
      <c r="K55">
        <f t="shared" si="3"/>
        <v>-5.2962912275899693E-2</v>
      </c>
      <c r="L55">
        <f t="shared" si="4"/>
        <v>-2.7404479578392784E-2</v>
      </c>
      <c r="M55">
        <f t="shared" si="5"/>
        <v>-2.8489346420876339E-2</v>
      </c>
      <c r="AF55">
        <f>SUM(AF52:AF54)</f>
        <v>1</v>
      </c>
    </row>
    <row r="56" spans="1:32" ht="18" x14ac:dyDescent="0.2">
      <c r="A56" s="5">
        <v>44317</v>
      </c>
      <c r="B56" s="6">
        <v>154.85</v>
      </c>
      <c r="C56" s="6">
        <v>165.7</v>
      </c>
      <c r="D56" s="6">
        <v>152.13999999999999</v>
      </c>
      <c r="E56" s="6">
        <v>164.24</v>
      </c>
      <c r="F56" s="6">
        <v>146.13999999999999</v>
      </c>
      <c r="G56" s="7">
        <v>248957700</v>
      </c>
      <c r="J56" s="5">
        <v>44317</v>
      </c>
      <c r="K56">
        <f t="shared" si="3"/>
        <v>7.4084962516536707E-2</v>
      </c>
      <c r="L56">
        <f t="shared" si="4"/>
        <v>4.5742628823367423E-2</v>
      </c>
      <c r="M56">
        <f t="shared" si="5"/>
        <v>3.6991062562065587E-2</v>
      </c>
      <c r="T56" t="s">
        <v>3</v>
      </c>
    </row>
    <row r="57" spans="1:32" ht="18" x14ac:dyDescent="0.2">
      <c r="A57" s="5">
        <v>44287</v>
      </c>
      <c r="B57" s="6">
        <v>151.9</v>
      </c>
      <c r="C57" s="6">
        <v>157.25</v>
      </c>
      <c r="D57" s="6">
        <v>146.69</v>
      </c>
      <c r="E57" s="6">
        <v>153.81</v>
      </c>
      <c r="F57" s="6">
        <v>136.06</v>
      </c>
      <c r="G57" s="7">
        <v>288694200</v>
      </c>
      <c r="J57" s="5">
        <v>44287</v>
      </c>
      <c r="K57">
        <f t="shared" si="3"/>
        <v>1.039655428486563E-2</v>
      </c>
      <c r="L57">
        <f t="shared" si="4"/>
        <v>5.2799535828256465E-2</v>
      </c>
      <c r="M57">
        <f t="shared" si="5"/>
        <v>0.15316346979673637</v>
      </c>
    </row>
    <row r="58" spans="1:32" ht="18" x14ac:dyDescent="0.2">
      <c r="A58" s="5">
        <v>44256</v>
      </c>
      <c r="B58" s="6">
        <v>149.52000000000001</v>
      </c>
      <c r="C58" s="6">
        <v>161.69</v>
      </c>
      <c r="D58" s="6">
        <v>147.97</v>
      </c>
      <c r="E58" s="6">
        <v>152.22999999999999</v>
      </c>
      <c r="F58" s="6">
        <v>134.66</v>
      </c>
      <c r="G58" s="7">
        <v>399416900</v>
      </c>
      <c r="J58" s="5">
        <v>44256</v>
      </c>
      <c r="K58">
        <f t="shared" si="3"/>
        <v>3.4334434288347794E-2</v>
      </c>
      <c r="L58">
        <f t="shared" si="4"/>
        <v>0.11481241914618361</v>
      </c>
      <c r="M58">
        <f t="shared" si="5"/>
        <v>8.3436724565756751E-2</v>
      </c>
      <c r="U58">
        <f>(AF52)*(U46) + (AF53)*(V46) + (AF54)*(W46)</f>
        <v>8.9795808797623923E-3</v>
      </c>
      <c r="X58" cm="1">
        <f t="array" ref="X58">MMULT(TRANSPOSE(AF52:AF54), MMULT(Z38:AB40, AF52:AF54))</f>
        <v>1.3287940125499883E-3</v>
      </c>
    </row>
    <row r="59" spans="1:32" ht="18" x14ac:dyDescent="0.2">
      <c r="A59" s="5">
        <v>44228</v>
      </c>
      <c r="B59" s="6">
        <v>129.4</v>
      </c>
      <c r="C59" s="6">
        <v>154.9</v>
      </c>
      <c r="D59" s="6">
        <v>128.47999999999999</v>
      </c>
      <c r="E59" s="6">
        <v>147.16999999999999</v>
      </c>
      <c r="F59" s="6">
        <v>130.19</v>
      </c>
      <c r="G59" s="7">
        <v>229245300</v>
      </c>
      <c r="J59" s="5">
        <v>44228</v>
      </c>
      <c r="K59">
        <f t="shared" si="3"/>
        <v>0.15202194496062288</v>
      </c>
      <c r="L59">
        <f t="shared" si="4"/>
        <v>0.17076864823930335</v>
      </c>
      <c r="M59">
        <f t="shared" si="5"/>
        <v>0.21066466391288033</v>
      </c>
      <c r="X59">
        <f>SQRT(X58)</f>
        <v>3.6452626963635805E-2</v>
      </c>
    </row>
    <row r="60" spans="1:32" ht="18" x14ac:dyDescent="0.2">
      <c r="A60" s="5">
        <v>44197</v>
      </c>
      <c r="B60" s="6">
        <v>127.5</v>
      </c>
      <c r="C60" s="6">
        <v>142.75</v>
      </c>
      <c r="D60" s="6">
        <v>123.77</v>
      </c>
      <c r="E60" s="6">
        <v>128.66999999999999</v>
      </c>
      <c r="F60" s="6">
        <v>113.01</v>
      </c>
      <c r="G60" s="7">
        <v>318582400</v>
      </c>
      <c r="J60" s="5">
        <v>44197</v>
      </c>
      <c r="K60">
        <f t="shared" si="3"/>
        <v>1.2634408602150635E-2</v>
      </c>
      <c r="L60">
        <f t="shared" si="4"/>
        <v>-1.5654118524040184E-2</v>
      </c>
      <c r="M60">
        <f t="shared" si="5"/>
        <v>-1.0037174721189576E-2</v>
      </c>
      <c r="V60">
        <f>U46*AF52</f>
        <v>-1.4208716861863419E-3</v>
      </c>
      <c r="AC60">
        <f>SUM(AC43:AC46)</f>
        <v>-59.603911179772012</v>
      </c>
    </row>
    <row r="61" spans="1:32" ht="18" x14ac:dyDescent="0.2">
      <c r="A61" s="5">
        <v>44166</v>
      </c>
      <c r="B61" s="6">
        <v>120.34</v>
      </c>
      <c r="C61" s="6">
        <v>127.33</v>
      </c>
      <c r="D61" s="6">
        <v>118.11</v>
      </c>
      <c r="E61" s="6">
        <v>127.07</v>
      </c>
      <c r="F61" s="6">
        <v>111.6</v>
      </c>
      <c r="G61" s="7">
        <v>274143300</v>
      </c>
      <c r="J61" s="5"/>
      <c r="V61">
        <f>AF53*V46</f>
        <v>-1.1352476668293011E-2</v>
      </c>
      <c r="AC61">
        <f>SUM(AD43:AD45)</f>
        <v>-472.79709875229128</v>
      </c>
    </row>
    <row r="62" spans="1:32" x14ac:dyDescent="0.2">
      <c r="V62">
        <f>AF54*W46</f>
        <v>2.1752929234241745E-2</v>
      </c>
      <c r="AC62">
        <f>SUM(AE43:AE45)</f>
        <v>1284.9631004858702</v>
      </c>
    </row>
    <row r="63" spans="1:32" x14ac:dyDescent="0.2">
      <c r="AC63">
        <f>SUM(AC60:AC62)</f>
        <v>752.56209055380691</v>
      </c>
      <c r="AE63">
        <f>1/AC63*AE47</f>
        <v>-7.9201320300242004E-2</v>
      </c>
    </row>
    <row r="64" spans="1:32" x14ac:dyDescent="0.2">
      <c r="J64" t="s">
        <v>0</v>
      </c>
      <c r="K64">
        <f>AVERAGE(K2:K60)</f>
        <v>1.950483555553718E-2</v>
      </c>
      <c r="L64">
        <f>AVERAGE(L2:L60)</f>
        <v>1.4793682057895755E-2</v>
      </c>
      <c r="M64">
        <f>AVERAGE(M2:M60)</f>
        <v>2.2939803471841016E-2</v>
      </c>
      <c r="AE64">
        <f>1/AC63*AE48</f>
        <v>-0.62824995397305006</v>
      </c>
    </row>
    <row r="65" spans="1:31" x14ac:dyDescent="0.2">
      <c r="AE65">
        <f>1/AC63*AE49</f>
        <v>1.7074512742732921</v>
      </c>
    </row>
    <row r="66" spans="1:31" x14ac:dyDescent="0.2">
      <c r="J66" t="s">
        <v>1</v>
      </c>
      <c r="K66">
        <f>_xlfn.STDEV.S(K2:K60)</f>
        <v>7.0431812112241157E-2</v>
      </c>
      <c r="L66">
        <f>_xlfn.STDEV.S(L2:L60)</f>
        <v>8.2293044545974303E-2</v>
      </c>
      <c r="M66">
        <f>_xlfn.STDEV.S(M2:M60)</f>
        <v>8.2588993897204255E-2</v>
      </c>
    </row>
    <row r="67" spans="1:31" x14ac:dyDescent="0.2">
      <c r="A67" s="4" t="s">
        <v>7</v>
      </c>
      <c r="B67" s="4" t="s">
        <v>8</v>
      </c>
      <c r="C67" s="4" t="s">
        <v>9</v>
      </c>
      <c r="D67" s="4" t="s">
        <v>10</v>
      </c>
      <c r="E67" s="4" t="s">
        <v>11</v>
      </c>
      <c r="F67" s="4" t="s">
        <v>12</v>
      </c>
      <c r="G67" s="4" t="s">
        <v>13</v>
      </c>
    </row>
    <row r="68" spans="1:31" ht="18" x14ac:dyDescent="0.2">
      <c r="A68" s="5">
        <v>45962</v>
      </c>
      <c r="B68" s="6">
        <v>53.26</v>
      </c>
      <c r="C68" s="6">
        <v>54.69</v>
      </c>
      <c r="D68" s="6">
        <v>51.74</v>
      </c>
      <c r="E68" s="6">
        <v>52.61</v>
      </c>
      <c r="F68" s="6">
        <v>52.61</v>
      </c>
      <c r="G68" s="7">
        <v>387610300</v>
      </c>
      <c r="J68" t="s">
        <v>2</v>
      </c>
      <c r="K68">
        <f>_xlfn.COVARIANCE.S(K2:K60, K2:K60)</f>
        <v>4.9606401574140389E-3</v>
      </c>
      <c r="L68">
        <f>_xlfn.COVARIANCE.S(L2:L60, L2:L60)</f>
        <v>6.7721451806457156E-3</v>
      </c>
      <c r="M68">
        <f>_xlfn.COVARIANCE.S(M2:M60, M2:M60)</f>
        <v>6.820941912952445E-3</v>
      </c>
      <c r="N68">
        <f>_xlfn.COVARIANCE.S(K2:K60, L2:L60)</f>
        <v>5.0039834130321884E-3</v>
      </c>
      <c r="O68">
        <f>_xlfn.COVARIANCE.S(K2:K60,M2:M60)</f>
        <v>4.4482639879308665E-3</v>
      </c>
      <c r="P68">
        <f>_xlfn.COVARIANCE.S(L2:L60, M2:M60)</f>
        <v>5.9756236400472403E-3</v>
      </c>
    </row>
    <row r="69" spans="1:31" ht="18" x14ac:dyDescent="0.2">
      <c r="A69" s="5">
        <v>45931</v>
      </c>
      <c r="B69" s="6">
        <v>51.3</v>
      </c>
      <c r="C69" s="6">
        <v>53.64</v>
      </c>
      <c r="D69" s="6">
        <v>48.53</v>
      </c>
      <c r="E69" s="6">
        <v>53.45</v>
      </c>
      <c r="F69" s="6">
        <v>53.45</v>
      </c>
      <c r="G69" s="7">
        <v>762970500</v>
      </c>
      <c r="K69" s="3">
        <v>4.2361111111111113E-2</v>
      </c>
      <c r="L69" s="3">
        <v>8.4722222222222227E-2</v>
      </c>
      <c r="M69" s="3">
        <v>0.12708333333333333</v>
      </c>
      <c r="N69" s="3">
        <v>4.3055555555555555E-2</v>
      </c>
      <c r="O69" s="3">
        <v>4.3749999999999997E-2</v>
      </c>
      <c r="P69" s="3">
        <v>8.5416666666666669E-2</v>
      </c>
    </row>
    <row r="70" spans="1:31" ht="18" x14ac:dyDescent="0.2">
      <c r="A70" s="5">
        <v>45901</v>
      </c>
      <c r="B70" s="6">
        <v>50.22</v>
      </c>
      <c r="C70" s="6">
        <v>52.88</v>
      </c>
      <c r="D70" s="6">
        <v>48.88</v>
      </c>
      <c r="E70" s="6">
        <v>51.59</v>
      </c>
      <c r="F70" s="6">
        <v>51.3</v>
      </c>
      <c r="G70" s="7">
        <v>754239800</v>
      </c>
    </row>
    <row r="71" spans="1:31" ht="18" x14ac:dyDescent="0.2">
      <c r="A71" s="5">
        <v>45870</v>
      </c>
      <c r="B71" s="6">
        <v>46.36</v>
      </c>
      <c r="C71" s="6">
        <v>50.92</v>
      </c>
      <c r="D71" s="6">
        <v>44.75</v>
      </c>
      <c r="E71" s="6">
        <v>50.74</v>
      </c>
      <c r="F71" s="6">
        <v>50.46</v>
      </c>
      <c r="G71" s="7">
        <v>728384200</v>
      </c>
    </row>
    <row r="72" spans="1:31" ht="18" x14ac:dyDescent="0.2">
      <c r="A72" s="5">
        <v>45839</v>
      </c>
      <c r="B72" s="6">
        <v>47.02</v>
      </c>
      <c r="C72" s="6">
        <v>49.31</v>
      </c>
      <c r="D72" s="6">
        <v>45.01</v>
      </c>
      <c r="E72" s="6">
        <v>47.27</v>
      </c>
      <c r="F72" s="6">
        <v>47.01</v>
      </c>
      <c r="G72" s="7">
        <v>906389900</v>
      </c>
      <c r="J72" t="s">
        <v>24</v>
      </c>
    </row>
    <row r="73" spans="1:31" ht="18" x14ac:dyDescent="0.2">
      <c r="A73" s="5">
        <v>45809</v>
      </c>
      <c r="B73" s="6">
        <v>43.88</v>
      </c>
      <c r="C73" s="6">
        <v>47.67</v>
      </c>
      <c r="D73" s="6">
        <v>43.36</v>
      </c>
      <c r="E73" s="6">
        <v>47.32</v>
      </c>
      <c r="F73" s="6">
        <v>46.78</v>
      </c>
      <c r="G73" s="7">
        <v>775768400</v>
      </c>
      <c r="K73">
        <v>4.9606399999999997E-3</v>
      </c>
      <c r="L73">
        <v>5.0039799999999999E-3</v>
      </c>
      <c r="M73">
        <v>4.4482599999999999E-3</v>
      </c>
    </row>
    <row r="74" spans="1:31" ht="18" x14ac:dyDescent="0.2">
      <c r="A74" s="5">
        <v>45778</v>
      </c>
      <c r="B74" s="6">
        <v>39.82</v>
      </c>
      <c r="C74" s="6">
        <v>45.14</v>
      </c>
      <c r="D74" s="6">
        <v>39.58</v>
      </c>
      <c r="E74" s="6">
        <v>44.13</v>
      </c>
      <c r="F74" s="6">
        <v>43.63</v>
      </c>
      <c r="G74" s="7">
        <v>822871900</v>
      </c>
      <c r="K74">
        <v>5.0039799999999999E-3</v>
      </c>
      <c r="L74">
        <v>6.7721500000000002E-3</v>
      </c>
      <c r="M74">
        <v>5.9756200000000001E-3</v>
      </c>
    </row>
    <row r="75" spans="1:31" ht="18" x14ac:dyDescent="0.2">
      <c r="A75" s="5">
        <v>45748</v>
      </c>
      <c r="B75" s="6">
        <v>41.32</v>
      </c>
      <c r="C75" s="6">
        <v>41.97</v>
      </c>
      <c r="D75" s="6">
        <v>33.07</v>
      </c>
      <c r="E75" s="6">
        <v>39.880000000000003</v>
      </c>
      <c r="F75" s="6">
        <v>39.43</v>
      </c>
      <c r="G75" s="7">
        <v>1359333800</v>
      </c>
      <c r="K75">
        <v>4.4482599999999999E-3</v>
      </c>
      <c r="L75">
        <v>5.9756200000000001E-3</v>
      </c>
      <c r="M75">
        <v>6.8209400000000002E-3</v>
      </c>
    </row>
    <row r="76" spans="1:31" ht="18" x14ac:dyDescent="0.2">
      <c r="A76" s="5">
        <v>45717</v>
      </c>
      <c r="B76" s="6">
        <v>46.21</v>
      </c>
      <c r="C76" s="6">
        <v>46.96</v>
      </c>
      <c r="D76" s="6">
        <v>39.18</v>
      </c>
      <c r="E76" s="6">
        <v>41.73</v>
      </c>
      <c r="F76" s="6">
        <v>41</v>
      </c>
      <c r="G76" s="7">
        <v>936464600</v>
      </c>
    </row>
    <row r="77" spans="1:31" ht="18" x14ac:dyDescent="0.2">
      <c r="A77" s="5">
        <v>45689</v>
      </c>
      <c r="B77" s="6">
        <v>45.42</v>
      </c>
      <c r="C77" s="6">
        <v>47.98</v>
      </c>
      <c r="D77" s="6">
        <v>43.35</v>
      </c>
      <c r="E77" s="6">
        <v>46.1</v>
      </c>
      <c r="F77" s="6">
        <v>45.29</v>
      </c>
      <c r="G77" s="7">
        <v>650240100</v>
      </c>
      <c r="I77" t="s">
        <v>4</v>
      </c>
    </row>
    <row r="78" spans="1:31" ht="18" x14ac:dyDescent="0.2">
      <c r="A78" s="5">
        <v>45658</v>
      </c>
      <c r="B78" s="6">
        <v>44.14</v>
      </c>
      <c r="C78" s="6">
        <v>47.51</v>
      </c>
      <c r="D78" s="6">
        <v>43.8</v>
      </c>
      <c r="E78" s="6">
        <v>46.3</v>
      </c>
      <c r="F78" s="6">
        <v>45.49</v>
      </c>
      <c r="G78" s="7">
        <v>739447500</v>
      </c>
      <c r="K78" cm="1">
        <f t="array" ref="K78:M80">MINVERSE(K73:M75)</f>
        <v>792.09539632553629</v>
      </c>
      <c r="L78">
        <v>-570.45766422361112</v>
      </c>
      <c r="M78">
        <v>-16.80238210146015</v>
      </c>
      <c r="O78">
        <v>1</v>
      </c>
    </row>
    <row r="79" spans="1:31" ht="18" x14ac:dyDescent="0.2">
      <c r="A79" s="5">
        <v>45627</v>
      </c>
      <c r="B79" s="6">
        <v>47.74</v>
      </c>
      <c r="C79" s="6">
        <v>47.82</v>
      </c>
      <c r="D79" s="6">
        <v>42.78</v>
      </c>
      <c r="E79" s="6">
        <v>43.95</v>
      </c>
      <c r="F79" s="6">
        <v>42.94</v>
      </c>
      <c r="G79" s="7">
        <v>652159200</v>
      </c>
      <c r="K79">
        <v>-570.45766422361146</v>
      </c>
      <c r="L79">
        <v>1061.4170654668096</v>
      </c>
      <c r="M79">
        <v>-557.85288175610049</v>
      </c>
      <c r="O79">
        <v>1</v>
      </c>
    </row>
    <row r="80" spans="1:31" ht="18" x14ac:dyDescent="0.2">
      <c r="A80" s="5">
        <v>45597</v>
      </c>
      <c r="B80" s="6">
        <v>42.15</v>
      </c>
      <c r="C80" s="6">
        <v>48.08</v>
      </c>
      <c r="D80" s="6">
        <v>41.11</v>
      </c>
      <c r="E80" s="6">
        <v>47.51</v>
      </c>
      <c r="F80" s="6">
        <v>46.42</v>
      </c>
      <c r="G80" s="7">
        <v>776323600</v>
      </c>
      <c r="K80">
        <v>-16.802382101460058</v>
      </c>
      <c r="L80">
        <v>-557.85288175610049</v>
      </c>
      <c r="M80">
        <v>646.28309316399645</v>
      </c>
      <c r="O80">
        <v>1</v>
      </c>
    </row>
    <row r="81" spans="1:13" ht="18" x14ac:dyDescent="0.2">
      <c r="A81" s="5">
        <v>45566</v>
      </c>
      <c r="B81" s="6">
        <v>39.51</v>
      </c>
      <c r="C81" s="6">
        <v>43.36</v>
      </c>
      <c r="D81" s="6">
        <v>38.729999999999997</v>
      </c>
      <c r="E81" s="6">
        <v>41.82</v>
      </c>
      <c r="F81" s="6">
        <v>40.86</v>
      </c>
      <c r="G81" s="7">
        <v>722829900</v>
      </c>
    </row>
    <row r="82" spans="1:13" ht="18" x14ac:dyDescent="0.2">
      <c r="A82" s="5">
        <v>45536</v>
      </c>
      <c r="B82" s="6">
        <v>40.58</v>
      </c>
      <c r="C82" s="6">
        <v>41.05</v>
      </c>
      <c r="D82" s="6">
        <v>38.01</v>
      </c>
      <c r="E82" s="6">
        <v>39.68</v>
      </c>
      <c r="F82" s="6">
        <v>38.520000000000003</v>
      </c>
      <c r="G82" s="7">
        <v>794903800</v>
      </c>
    </row>
    <row r="83" spans="1:13" ht="18" x14ac:dyDescent="0.2">
      <c r="A83" s="5">
        <v>45505</v>
      </c>
      <c r="B83" s="6">
        <v>40.44</v>
      </c>
      <c r="C83" s="6">
        <v>40.86</v>
      </c>
      <c r="D83" s="6">
        <v>35.14</v>
      </c>
      <c r="E83" s="6">
        <v>40.75</v>
      </c>
      <c r="F83" s="6">
        <v>39.56</v>
      </c>
      <c r="G83" s="7">
        <v>894057800</v>
      </c>
      <c r="K83" cm="1">
        <f t="array" ref="K83:K85">MMULT(MINVERSE(K73:M75), O78:O80)</f>
        <v>204.83535000046501</v>
      </c>
    </row>
    <row r="84" spans="1:13" ht="18" x14ac:dyDescent="0.2">
      <c r="A84" s="5">
        <v>45474</v>
      </c>
      <c r="B84" s="6">
        <v>39.909999999999997</v>
      </c>
      <c r="C84" s="6">
        <v>44.44</v>
      </c>
      <c r="D84" s="6">
        <v>39.67</v>
      </c>
      <c r="E84" s="6">
        <v>40.31</v>
      </c>
      <c r="F84" s="6">
        <v>39.130000000000003</v>
      </c>
      <c r="G84" s="7">
        <v>868095500</v>
      </c>
      <c r="K84">
        <v>-66.893480512902329</v>
      </c>
    </row>
    <row r="85" spans="1:13" ht="18" x14ac:dyDescent="0.2">
      <c r="A85" s="5">
        <v>45444</v>
      </c>
      <c r="B85" s="6">
        <v>40.04</v>
      </c>
      <c r="C85" s="6">
        <v>40.340000000000003</v>
      </c>
      <c r="D85" s="6">
        <v>38.340000000000003</v>
      </c>
      <c r="E85" s="6">
        <v>39.770000000000003</v>
      </c>
      <c r="F85" s="6">
        <v>38.369999999999997</v>
      </c>
      <c r="G85" s="7">
        <v>696786300</v>
      </c>
      <c r="K85">
        <v>71.627829306435956</v>
      </c>
      <c r="M85" t="s">
        <v>86</v>
      </c>
    </row>
    <row r="86" spans="1:13" ht="18" x14ac:dyDescent="0.2">
      <c r="A86" s="5">
        <v>45413</v>
      </c>
      <c r="B86" s="6">
        <v>37.21</v>
      </c>
      <c r="C86" s="6">
        <v>40.08</v>
      </c>
      <c r="D86" s="6">
        <v>36.65</v>
      </c>
      <c r="E86" s="6">
        <v>39.99</v>
      </c>
      <c r="F86" s="6">
        <v>38.58</v>
      </c>
      <c r="G86" s="7">
        <v>720885600</v>
      </c>
      <c r="M86">
        <f>K83/SUM(_xlfn.ANCHORARRAY(K83))</f>
        <v>0.97740919216481115</v>
      </c>
    </row>
    <row r="87" spans="1:13" ht="18" x14ac:dyDescent="0.2">
      <c r="A87" s="5">
        <v>45383</v>
      </c>
      <c r="B87" s="6">
        <v>37.94</v>
      </c>
      <c r="C87" s="6">
        <v>38.49</v>
      </c>
      <c r="D87" s="6">
        <v>34.15</v>
      </c>
      <c r="E87" s="6">
        <v>37.01</v>
      </c>
      <c r="F87" s="6">
        <v>35.71</v>
      </c>
      <c r="G87" s="7">
        <v>904458100</v>
      </c>
      <c r="M87">
        <f>K84/SUM(_xlfn.ANCHORARRAY(K83))</f>
        <v>-0.31919442981428731</v>
      </c>
    </row>
    <row r="88" spans="1:13" ht="18" x14ac:dyDescent="0.2">
      <c r="A88" s="5">
        <v>45352</v>
      </c>
      <c r="B88" s="6">
        <v>34.53</v>
      </c>
      <c r="C88" s="6">
        <v>38</v>
      </c>
      <c r="D88" s="6">
        <v>34.03</v>
      </c>
      <c r="E88" s="6">
        <v>37.92</v>
      </c>
      <c r="F88" s="6">
        <v>36.590000000000003</v>
      </c>
      <c r="G88" s="7">
        <v>826724200</v>
      </c>
      <c r="M88">
        <f>K85/SUM(_xlfn.ANCHORARRAY(K83))</f>
        <v>0.3417852376494761</v>
      </c>
    </row>
    <row r="89" spans="1:13" ht="18" x14ac:dyDescent="0.2">
      <c r="A89" s="5">
        <v>45323</v>
      </c>
      <c r="B89" s="6">
        <v>33.93</v>
      </c>
      <c r="C89" s="6">
        <v>34.65</v>
      </c>
      <c r="D89" s="6">
        <v>32.35</v>
      </c>
      <c r="E89" s="6">
        <v>34.520000000000003</v>
      </c>
      <c r="F89" s="6">
        <v>33.07</v>
      </c>
      <c r="G89" s="7">
        <v>748360100</v>
      </c>
      <c r="M89">
        <f>SUM(M86:M88)</f>
        <v>1</v>
      </c>
    </row>
    <row r="90" spans="1:13" ht="18" x14ac:dyDescent="0.2">
      <c r="A90" s="5">
        <v>45292</v>
      </c>
      <c r="B90" s="6">
        <v>33.39</v>
      </c>
      <c r="C90" s="6">
        <v>35.1</v>
      </c>
      <c r="D90" s="6">
        <v>31.27</v>
      </c>
      <c r="E90" s="6">
        <v>34.01</v>
      </c>
      <c r="F90" s="6">
        <v>32.58</v>
      </c>
      <c r="G90" s="7">
        <v>934161500</v>
      </c>
    </row>
    <row r="91" spans="1:13" ht="18" x14ac:dyDescent="0.2">
      <c r="A91" s="5">
        <v>45261</v>
      </c>
      <c r="B91" s="6">
        <v>30.4</v>
      </c>
      <c r="C91" s="6">
        <v>34.07</v>
      </c>
      <c r="D91" s="6">
        <v>30.33</v>
      </c>
      <c r="E91" s="6">
        <v>33.67</v>
      </c>
      <c r="F91" s="6">
        <v>32.26</v>
      </c>
      <c r="G91" s="7">
        <v>863795100</v>
      </c>
      <c r="K91">
        <f>SUM(K78:K80)</f>
        <v>204.83535000046476</v>
      </c>
    </row>
    <row r="92" spans="1:13" ht="18" x14ac:dyDescent="0.2">
      <c r="A92" s="5">
        <v>45231</v>
      </c>
      <c r="B92" s="6">
        <v>26.44</v>
      </c>
      <c r="C92" s="6">
        <v>30.61</v>
      </c>
      <c r="D92" s="6">
        <v>26.15</v>
      </c>
      <c r="E92" s="6">
        <v>30.49</v>
      </c>
      <c r="F92" s="6">
        <v>28.98</v>
      </c>
      <c r="G92" s="7">
        <v>891085100</v>
      </c>
      <c r="K92">
        <f>SUM(L78:L80)</f>
        <v>-66.893480512901988</v>
      </c>
    </row>
    <row r="93" spans="1:13" ht="18" x14ac:dyDescent="0.2">
      <c r="A93" s="5">
        <v>45200</v>
      </c>
      <c r="B93" s="6">
        <v>27.27</v>
      </c>
      <c r="C93" s="6">
        <v>28.04</v>
      </c>
      <c r="D93" s="6">
        <v>24.96</v>
      </c>
      <c r="E93" s="6">
        <v>26.34</v>
      </c>
      <c r="F93" s="6">
        <v>25.04</v>
      </c>
      <c r="G93" s="7">
        <v>1225398800</v>
      </c>
      <c r="K93">
        <f>SUM(M78:M80)</f>
        <v>71.627829306435842</v>
      </c>
    </row>
    <row r="94" spans="1:13" ht="18" x14ac:dyDescent="0.2">
      <c r="A94" s="5">
        <v>45170</v>
      </c>
      <c r="B94" s="6">
        <v>28.76</v>
      </c>
      <c r="C94" s="6">
        <v>29.44</v>
      </c>
      <c r="D94" s="6">
        <v>27.01</v>
      </c>
      <c r="E94" s="6">
        <v>27.38</v>
      </c>
      <c r="F94" s="6">
        <v>26.02</v>
      </c>
      <c r="G94" s="7">
        <v>777431200</v>
      </c>
      <c r="K94">
        <f>SUM(K91:K93)</f>
        <v>209.56969879399861</v>
      </c>
      <c r="M94" t="s">
        <v>86</v>
      </c>
    </row>
    <row r="95" spans="1:13" ht="18" x14ac:dyDescent="0.2">
      <c r="A95" s="5">
        <v>45139</v>
      </c>
      <c r="B95" s="6">
        <v>31.84</v>
      </c>
      <c r="C95" s="6">
        <v>31.94</v>
      </c>
      <c r="D95" s="6">
        <v>28.18</v>
      </c>
      <c r="E95" s="6">
        <v>28.67</v>
      </c>
      <c r="F95" s="6">
        <v>27.02</v>
      </c>
      <c r="G95" s="7">
        <v>809814400</v>
      </c>
      <c r="M95">
        <f>1/K94*K91</f>
        <v>0.97740919216481004</v>
      </c>
    </row>
    <row r="96" spans="1:13" ht="18" x14ac:dyDescent="0.2">
      <c r="A96" s="5">
        <v>45108</v>
      </c>
      <c r="B96" s="6">
        <v>28.7</v>
      </c>
      <c r="C96" s="6">
        <v>32.85</v>
      </c>
      <c r="D96" s="6">
        <v>28.1</v>
      </c>
      <c r="E96" s="6">
        <v>32</v>
      </c>
      <c r="F96" s="6">
        <v>30.16</v>
      </c>
      <c r="G96" s="7">
        <v>968946700</v>
      </c>
      <c r="M96">
        <f>1/K94*K92</f>
        <v>-0.3191944298142857</v>
      </c>
    </row>
    <row r="97" spans="1:14" ht="18" x14ac:dyDescent="0.2">
      <c r="A97" s="5">
        <v>45078</v>
      </c>
      <c r="B97" s="6">
        <v>27.76</v>
      </c>
      <c r="C97" s="6">
        <v>29.8</v>
      </c>
      <c r="D97" s="6">
        <v>27.34</v>
      </c>
      <c r="E97" s="6">
        <v>28.69</v>
      </c>
      <c r="F97" s="6">
        <v>26.83</v>
      </c>
      <c r="G97" s="7">
        <v>968664200</v>
      </c>
      <c r="M97">
        <f>1/K94*K93</f>
        <v>0.3417852376494756</v>
      </c>
    </row>
    <row r="98" spans="1:14" ht="18" x14ac:dyDescent="0.2">
      <c r="A98" s="5">
        <v>45047</v>
      </c>
      <c r="B98" s="6">
        <v>29.5</v>
      </c>
      <c r="C98" s="6">
        <v>29.54</v>
      </c>
      <c r="D98" s="6">
        <v>26.83</v>
      </c>
      <c r="E98" s="6">
        <v>27.79</v>
      </c>
      <c r="F98" s="6">
        <v>25.99</v>
      </c>
      <c r="G98" s="7">
        <v>1047826900</v>
      </c>
    </row>
    <row r="99" spans="1:14" ht="18" x14ac:dyDescent="0.2">
      <c r="A99" s="5">
        <v>45017</v>
      </c>
      <c r="B99" s="6">
        <v>28.64</v>
      </c>
      <c r="C99" s="6">
        <v>30.93</v>
      </c>
      <c r="D99" s="6">
        <v>27.46</v>
      </c>
      <c r="E99" s="6">
        <v>29.28</v>
      </c>
      <c r="F99" s="6">
        <v>27.38</v>
      </c>
      <c r="G99" s="7">
        <v>1028255800</v>
      </c>
      <c r="I99" t="s">
        <v>20</v>
      </c>
    </row>
    <row r="100" spans="1:14" ht="18" x14ac:dyDescent="0.2">
      <c r="A100" s="5">
        <v>44986</v>
      </c>
      <c r="B100" s="6">
        <v>34.15</v>
      </c>
      <c r="C100" s="6">
        <v>34.56</v>
      </c>
      <c r="D100" s="6">
        <v>26.32</v>
      </c>
      <c r="E100" s="6">
        <v>28.6</v>
      </c>
      <c r="F100" s="6">
        <v>26.57</v>
      </c>
      <c r="G100" s="7">
        <v>2061004500</v>
      </c>
      <c r="J100">
        <f>(M95)*(K64) + (M96)*(L64) + (M97)*(M64)</f>
        <v>2.2182630835576644E-2</v>
      </c>
    </row>
    <row r="101" spans="1:14" ht="18" x14ac:dyDescent="0.2">
      <c r="A101" s="5">
        <v>44958</v>
      </c>
      <c r="B101" s="6">
        <v>35.200000000000003</v>
      </c>
      <c r="C101" s="6">
        <v>37</v>
      </c>
      <c r="D101" s="6">
        <v>33.840000000000003</v>
      </c>
      <c r="E101" s="6">
        <v>34.299999999999997</v>
      </c>
      <c r="F101" s="6">
        <v>31.87</v>
      </c>
      <c r="G101" s="7">
        <v>616776700</v>
      </c>
      <c r="K101">
        <f>(M95)*(K64)</f>
        <v>1.9064205563645058E-2</v>
      </c>
      <c r="M101" t="s">
        <v>87</v>
      </c>
      <c r="N101" cm="1">
        <f t="array" ref="N101">MMULT(TRANSPOSE(M95:M97), MMULT(K73:M75, M95:M97))</f>
        <v>4.7716821933450077E-3</v>
      </c>
    </row>
    <row r="102" spans="1:14" ht="18" x14ac:dyDescent="0.2">
      <c r="A102" s="5">
        <v>44927</v>
      </c>
      <c r="B102" s="6">
        <v>33.229999999999997</v>
      </c>
      <c r="C102" s="6">
        <v>35.78</v>
      </c>
      <c r="D102" s="6">
        <v>32.89</v>
      </c>
      <c r="E102" s="6">
        <v>35.479999999999997</v>
      </c>
      <c r="F102" s="6">
        <v>32.97</v>
      </c>
      <c r="G102" s="7">
        <v>809281100</v>
      </c>
      <c r="K102">
        <f>(M96)*(L64)</f>
        <v>-4.7220609093238637E-3</v>
      </c>
      <c r="M102" t="s">
        <v>88</v>
      </c>
      <c r="N102">
        <f>SQRT(N101)</f>
        <v>6.9077363827414612E-2</v>
      </c>
    </row>
    <row r="103" spans="1:14" ht="18" x14ac:dyDescent="0.2">
      <c r="A103" s="5">
        <v>44896</v>
      </c>
      <c r="B103" s="6">
        <v>37.5</v>
      </c>
      <c r="C103" s="6">
        <v>37.69</v>
      </c>
      <c r="D103" s="6">
        <v>31.35</v>
      </c>
      <c r="E103" s="6">
        <v>33.119999999999997</v>
      </c>
      <c r="F103" s="6">
        <v>30.59</v>
      </c>
      <c r="G103" s="7">
        <v>893060200</v>
      </c>
      <c r="K103">
        <f>(M97)*(M64)</f>
        <v>7.8404861812554471E-3</v>
      </c>
    </row>
    <row r="104" spans="1:14" ht="18" x14ac:dyDescent="0.2">
      <c r="A104" s="5">
        <v>44866</v>
      </c>
      <c r="B104" s="6">
        <v>36.44</v>
      </c>
      <c r="C104" s="6">
        <v>38.6</v>
      </c>
      <c r="D104" s="6">
        <v>35.409999999999997</v>
      </c>
      <c r="E104" s="6">
        <v>37.85</v>
      </c>
      <c r="F104" s="6">
        <v>34.96</v>
      </c>
      <c r="G104" s="7">
        <v>700345500</v>
      </c>
      <c r="K104">
        <f>SUM(K101:K103)</f>
        <v>2.2182630835576644E-2</v>
      </c>
    </row>
    <row r="105" spans="1:14" ht="18" x14ac:dyDescent="0.2">
      <c r="A105" s="5">
        <v>44835</v>
      </c>
      <c r="B105" s="6">
        <v>30.59</v>
      </c>
      <c r="C105" s="6">
        <v>36.369999999999997</v>
      </c>
      <c r="D105" s="6">
        <v>29.31</v>
      </c>
      <c r="E105" s="6">
        <v>36.04</v>
      </c>
      <c r="F105" s="6">
        <v>33.29</v>
      </c>
      <c r="G105" s="7">
        <v>980931500</v>
      </c>
    </row>
    <row r="106" spans="1:14" ht="18" x14ac:dyDescent="0.2">
      <c r="A106" s="5">
        <v>44805</v>
      </c>
      <c r="B106" s="6">
        <v>33.340000000000003</v>
      </c>
      <c r="C106" s="6">
        <v>35.630000000000003</v>
      </c>
      <c r="D106" s="6">
        <v>30.17</v>
      </c>
      <c r="E106" s="6">
        <v>30.2</v>
      </c>
      <c r="F106" s="6">
        <v>27.71</v>
      </c>
      <c r="G106" s="7">
        <v>860183900</v>
      </c>
    </row>
    <row r="107" spans="1:14" ht="18" x14ac:dyDescent="0.2">
      <c r="A107" s="5">
        <v>44774</v>
      </c>
      <c r="B107" s="6">
        <v>33.619999999999997</v>
      </c>
      <c r="C107" s="6">
        <v>36.94</v>
      </c>
      <c r="D107" s="6">
        <v>33</v>
      </c>
      <c r="E107" s="6">
        <v>33.61</v>
      </c>
      <c r="F107" s="6">
        <v>30.84</v>
      </c>
      <c r="G107" s="7">
        <v>819363100</v>
      </c>
    </row>
    <row r="108" spans="1:14" ht="18" x14ac:dyDescent="0.2">
      <c r="A108" s="5">
        <v>44743</v>
      </c>
      <c r="B108" s="6">
        <v>30.98</v>
      </c>
      <c r="C108" s="6">
        <v>33.979999999999997</v>
      </c>
      <c r="D108" s="6">
        <v>29.67</v>
      </c>
      <c r="E108" s="6">
        <v>33.81</v>
      </c>
      <c r="F108" s="6">
        <v>31.03</v>
      </c>
      <c r="G108" s="7">
        <v>814208000</v>
      </c>
    </row>
    <row r="109" spans="1:14" ht="18" x14ac:dyDescent="0.2">
      <c r="A109" s="5">
        <v>44713</v>
      </c>
      <c r="B109" s="6">
        <v>37.46</v>
      </c>
      <c r="C109" s="6">
        <v>37.47</v>
      </c>
      <c r="D109" s="6">
        <v>30.64</v>
      </c>
      <c r="E109" s="6">
        <v>31.13</v>
      </c>
      <c r="F109" s="6">
        <v>28.4</v>
      </c>
      <c r="G109" s="7">
        <v>996294300</v>
      </c>
    </row>
    <row r="110" spans="1:14" ht="18" x14ac:dyDescent="0.2">
      <c r="A110" s="5">
        <v>44682</v>
      </c>
      <c r="B110" s="6">
        <v>36.03</v>
      </c>
      <c r="C110" s="6">
        <v>38.75</v>
      </c>
      <c r="D110" s="6">
        <v>32.96</v>
      </c>
      <c r="E110" s="6">
        <v>37.200000000000003</v>
      </c>
      <c r="F110" s="6">
        <v>33.94</v>
      </c>
      <c r="G110" s="7">
        <v>1107801400</v>
      </c>
    </row>
    <row r="111" spans="1:14" ht="18" x14ac:dyDescent="0.2">
      <c r="A111" s="5">
        <v>44652</v>
      </c>
      <c r="B111" s="6">
        <v>41.69</v>
      </c>
      <c r="C111" s="6">
        <v>41.74</v>
      </c>
      <c r="D111" s="6">
        <v>35.54</v>
      </c>
      <c r="E111" s="6">
        <v>35.68</v>
      </c>
      <c r="F111" s="6">
        <v>32.56</v>
      </c>
      <c r="G111" s="7">
        <v>1032209900</v>
      </c>
    </row>
    <row r="112" spans="1:14" ht="18" x14ac:dyDescent="0.2">
      <c r="A112" s="5">
        <v>44621</v>
      </c>
      <c r="B112" s="6">
        <v>43.71</v>
      </c>
      <c r="C112" s="6">
        <v>44.63</v>
      </c>
      <c r="D112" s="6">
        <v>38.17</v>
      </c>
      <c r="E112" s="6">
        <v>41.22</v>
      </c>
      <c r="F112" s="6">
        <v>37.43</v>
      </c>
      <c r="G112" s="7">
        <v>1312818500</v>
      </c>
    </row>
    <row r="113" spans="1:7" ht="18" x14ac:dyDescent="0.2">
      <c r="A113" s="5">
        <v>44593</v>
      </c>
      <c r="B113" s="6">
        <v>46.21</v>
      </c>
      <c r="C113" s="6">
        <v>50.11</v>
      </c>
      <c r="D113" s="6">
        <v>42.05</v>
      </c>
      <c r="E113" s="6">
        <v>44.2</v>
      </c>
      <c r="F113" s="6">
        <v>40.130000000000003</v>
      </c>
      <c r="G113" s="7">
        <v>941748700</v>
      </c>
    </row>
    <row r="114" spans="1:7" ht="18" x14ac:dyDescent="0.2">
      <c r="A114" s="5">
        <v>44562</v>
      </c>
      <c r="B114" s="6">
        <v>45.09</v>
      </c>
      <c r="C114" s="6">
        <v>50.08</v>
      </c>
      <c r="D114" s="6">
        <v>42.59</v>
      </c>
      <c r="E114" s="6">
        <v>46.14</v>
      </c>
      <c r="F114" s="6">
        <v>41.89</v>
      </c>
      <c r="G114" s="7">
        <v>1225178700</v>
      </c>
    </row>
    <row r="115" spans="1:7" ht="18" x14ac:dyDescent="0.2">
      <c r="A115" s="5">
        <v>44531</v>
      </c>
      <c r="B115" s="6">
        <v>45.22</v>
      </c>
      <c r="C115" s="6">
        <v>45.7</v>
      </c>
      <c r="D115" s="6">
        <v>42.7</v>
      </c>
      <c r="E115" s="6">
        <v>44.49</v>
      </c>
      <c r="F115" s="6">
        <v>40.200000000000003</v>
      </c>
      <c r="G115" s="7">
        <v>1060922000</v>
      </c>
    </row>
    <row r="116" spans="1:7" ht="18" x14ac:dyDescent="0.2">
      <c r="A116" s="5">
        <v>44501</v>
      </c>
      <c r="B116" s="6">
        <v>48.1</v>
      </c>
      <c r="C116" s="6">
        <v>48.69</v>
      </c>
      <c r="D116" s="6">
        <v>44.36</v>
      </c>
      <c r="E116" s="6">
        <v>44.47</v>
      </c>
      <c r="F116" s="6">
        <v>40.18</v>
      </c>
      <c r="G116" s="7">
        <v>895399100</v>
      </c>
    </row>
    <row r="117" spans="1:7" ht="18" x14ac:dyDescent="0.2">
      <c r="A117" s="5">
        <v>44470</v>
      </c>
      <c r="B117" s="6">
        <v>42.48</v>
      </c>
      <c r="C117" s="6">
        <v>48.43</v>
      </c>
      <c r="D117" s="6">
        <v>42.33</v>
      </c>
      <c r="E117" s="6">
        <v>47.78</v>
      </c>
      <c r="F117" s="6">
        <v>43.18</v>
      </c>
      <c r="G117" s="7">
        <v>917220900</v>
      </c>
    </row>
    <row r="118" spans="1:7" ht="18" x14ac:dyDescent="0.2">
      <c r="A118" s="5">
        <v>44440</v>
      </c>
      <c r="B118" s="6">
        <v>41.75</v>
      </c>
      <c r="C118" s="6">
        <v>44.04</v>
      </c>
      <c r="D118" s="6">
        <v>38.36</v>
      </c>
      <c r="E118" s="6">
        <v>42.45</v>
      </c>
      <c r="F118" s="6">
        <v>38.159999999999997</v>
      </c>
      <c r="G118" s="7">
        <v>1022318600</v>
      </c>
    </row>
    <row r="119" spans="1:7" ht="18" x14ac:dyDescent="0.2">
      <c r="A119" s="5">
        <v>44409</v>
      </c>
      <c r="B119" s="6">
        <v>38.4</v>
      </c>
      <c r="C119" s="6">
        <v>42.84</v>
      </c>
      <c r="D119" s="6">
        <v>37.549999999999997</v>
      </c>
      <c r="E119" s="6">
        <v>41.75</v>
      </c>
      <c r="F119" s="6">
        <v>37.53</v>
      </c>
      <c r="G119" s="7">
        <v>997266200</v>
      </c>
    </row>
    <row r="120" spans="1:7" ht="18" x14ac:dyDescent="0.2">
      <c r="A120" s="5">
        <v>44378</v>
      </c>
      <c r="B120" s="6">
        <v>41.56</v>
      </c>
      <c r="C120" s="6">
        <v>41.7</v>
      </c>
      <c r="D120" s="6">
        <v>36.51</v>
      </c>
      <c r="E120" s="6">
        <v>38.36</v>
      </c>
      <c r="F120" s="6">
        <v>34.49</v>
      </c>
      <c r="G120" s="7">
        <v>1060522600</v>
      </c>
    </row>
    <row r="121" spans="1:7" ht="18" x14ac:dyDescent="0.2">
      <c r="A121" s="5">
        <v>44348</v>
      </c>
      <c r="B121" s="6">
        <v>42.95</v>
      </c>
      <c r="C121" s="6">
        <v>43.49</v>
      </c>
      <c r="D121" s="6">
        <v>38.49</v>
      </c>
      <c r="E121" s="6">
        <v>41.23</v>
      </c>
      <c r="F121" s="6">
        <v>36.909999999999997</v>
      </c>
      <c r="G121" s="7">
        <v>984580900</v>
      </c>
    </row>
    <row r="122" spans="1:7" ht="18" x14ac:dyDescent="0.2">
      <c r="A122" s="5">
        <v>44317</v>
      </c>
      <c r="B122" s="6">
        <v>40.869999999999997</v>
      </c>
      <c r="C122" s="6">
        <v>43.26</v>
      </c>
      <c r="D122" s="6">
        <v>39.78</v>
      </c>
      <c r="E122" s="6">
        <v>42.39</v>
      </c>
      <c r="F122" s="6">
        <v>37.950000000000003</v>
      </c>
      <c r="G122" s="7">
        <v>823509600</v>
      </c>
    </row>
    <row r="123" spans="1:7" ht="18" x14ac:dyDescent="0.2">
      <c r="A123" s="5">
        <v>44287</v>
      </c>
      <c r="B123" s="6">
        <v>38.83</v>
      </c>
      <c r="C123" s="6">
        <v>41.13</v>
      </c>
      <c r="D123" s="6">
        <v>37.409999999999997</v>
      </c>
      <c r="E123" s="6">
        <v>40.53</v>
      </c>
      <c r="F123" s="6">
        <v>36.29</v>
      </c>
      <c r="G123" s="7">
        <v>1029977500</v>
      </c>
    </row>
    <row r="124" spans="1:7" ht="18" x14ac:dyDescent="0.2">
      <c r="A124" s="5">
        <v>44256</v>
      </c>
      <c r="B124" s="6">
        <v>35.520000000000003</v>
      </c>
      <c r="C124" s="6">
        <v>39.97</v>
      </c>
      <c r="D124" s="6">
        <v>35.24</v>
      </c>
      <c r="E124" s="6">
        <v>38.69</v>
      </c>
      <c r="F124" s="6">
        <v>34.47</v>
      </c>
      <c r="G124" s="7">
        <v>1378848200</v>
      </c>
    </row>
    <row r="125" spans="1:7" ht="18" x14ac:dyDescent="0.2">
      <c r="A125" s="5">
        <v>44228</v>
      </c>
      <c r="B125" s="6">
        <v>29.87</v>
      </c>
      <c r="C125" s="6">
        <v>37.03</v>
      </c>
      <c r="D125" s="6">
        <v>29.57</v>
      </c>
      <c r="E125" s="6">
        <v>34.71</v>
      </c>
      <c r="F125" s="6">
        <v>30.92</v>
      </c>
      <c r="G125" s="7">
        <v>949913300</v>
      </c>
    </row>
    <row r="126" spans="1:7" ht="18" x14ac:dyDescent="0.2">
      <c r="A126" s="5">
        <v>44197</v>
      </c>
      <c r="B126" s="6">
        <v>30.46</v>
      </c>
      <c r="C126" s="6">
        <v>34.369999999999997</v>
      </c>
      <c r="D126" s="6">
        <v>29.59</v>
      </c>
      <c r="E126" s="6">
        <v>29.65</v>
      </c>
      <c r="F126" s="6">
        <v>26.41</v>
      </c>
      <c r="G126" s="7">
        <v>1085862900</v>
      </c>
    </row>
    <row r="127" spans="1:7" ht="18" x14ac:dyDescent="0.2">
      <c r="A127" s="5">
        <v>44166</v>
      </c>
      <c r="B127" s="6">
        <v>28.74</v>
      </c>
      <c r="C127" s="6">
        <v>30.55</v>
      </c>
      <c r="D127" s="6">
        <v>28.14</v>
      </c>
      <c r="E127" s="6">
        <v>30.31</v>
      </c>
      <c r="F127" s="6">
        <v>26.83</v>
      </c>
      <c r="G127" s="7">
        <v>1027329000</v>
      </c>
    </row>
    <row r="135" spans="1:7" x14ac:dyDescent="0.2">
      <c r="A135" s="4" t="s">
        <v>7</v>
      </c>
      <c r="B135" s="4" t="s">
        <v>8</v>
      </c>
      <c r="C135" s="4" t="s">
        <v>9</v>
      </c>
      <c r="D135" s="4" t="s">
        <v>10</v>
      </c>
      <c r="E135" s="4" t="s">
        <v>11</v>
      </c>
      <c r="F135" s="4" t="s">
        <v>12</v>
      </c>
      <c r="G135" s="4" t="s">
        <v>13</v>
      </c>
    </row>
    <row r="136" spans="1:7" ht="18" x14ac:dyDescent="0.2">
      <c r="A136" s="5">
        <v>45962</v>
      </c>
      <c r="B136" s="6">
        <v>87.14</v>
      </c>
      <c r="C136" s="6">
        <v>88.64</v>
      </c>
      <c r="D136" s="6">
        <v>82.96</v>
      </c>
      <c r="E136" s="6">
        <v>85.05</v>
      </c>
      <c r="F136" s="6">
        <v>84.61</v>
      </c>
      <c r="G136" s="7">
        <v>152398200</v>
      </c>
    </row>
    <row r="137" spans="1:7" ht="18" x14ac:dyDescent="0.2">
      <c r="A137" s="5">
        <v>45931</v>
      </c>
      <c r="B137" s="6">
        <v>83.1</v>
      </c>
      <c r="C137" s="6">
        <v>87.47</v>
      </c>
      <c r="D137" s="6">
        <v>77.62</v>
      </c>
      <c r="E137" s="6">
        <v>86.97</v>
      </c>
      <c r="F137" s="6">
        <v>86.52</v>
      </c>
      <c r="G137" s="7">
        <v>366280200</v>
      </c>
    </row>
    <row r="138" spans="1:7" ht="18" x14ac:dyDescent="0.2">
      <c r="A138" s="5">
        <v>45901</v>
      </c>
      <c r="B138" s="6">
        <v>81.709999999999994</v>
      </c>
      <c r="C138" s="6">
        <v>86.66</v>
      </c>
      <c r="D138" s="6">
        <v>78.56</v>
      </c>
      <c r="E138" s="6">
        <v>83.82</v>
      </c>
      <c r="F138" s="6">
        <v>83.38</v>
      </c>
      <c r="G138" s="7">
        <v>296633400</v>
      </c>
    </row>
    <row r="139" spans="1:7" ht="18" x14ac:dyDescent="0.2">
      <c r="A139" s="5">
        <v>45870</v>
      </c>
      <c r="B139" s="6">
        <v>79.19</v>
      </c>
      <c r="C139" s="6">
        <v>83.21</v>
      </c>
      <c r="D139" s="6">
        <v>76.16</v>
      </c>
      <c r="E139" s="6">
        <v>82.18</v>
      </c>
      <c r="F139" s="6">
        <v>81.27</v>
      </c>
      <c r="G139" s="7">
        <v>284526700</v>
      </c>
    </row>
    <row r="140" spans="1:7" ht="18" x14ac:dyDescent="0.2">
      <c r="A140" s="5">
        <v>45839</v>
      </c>
      <c r="B140" s="6">
        <v>80.05</v>
      </c>
      <c r="C140" s="6">
        <v>84.83</v>
      </c>
      <c r="D140" s="6">
        <v>77.72</v>
      </c>
      <c r="E140" s="6">
        <v>80.63</v>
      </c>
      <c r="F140" s="6">
        <v>79.739999999999995</v>
      </c>
      <c r="G140" s="7">
        <v>417623500</v>
      </c>
    </row>
    <row r="141" spans="1:7" ht="18" x14ac:dyDescent="0.2">
      <c r="A141" s="5">
        <v>45809</v>
      </c>
      <c r="B141" s="6">
        <v>74.260000000000005</v>
      </c>
      <c r="C141" s="6">
        <v>81.099999999999994</v>
      </c>
      <c r="D141" s="6">
        <v>71.930000000000007</v>
      </c>
      <c r="E141" s="6">
        <v>80.12</v>
      </c>
      <c r="F141" s="6">
        <v>79.239999999999995</v>
      </c>
      <c r="G141" s="7">
        <v>356076100</v>
      </c>
    </row>
    <row r="142" spans="1:7" ht="18" x14ac:dyDescent="0.2">
      <c r="A142" s="5">
        <v>45778</v>
      </c>
      <c r="B142" s="6">
        <v>70.760000000000005</v>
      </c>
      <c r="C142" s="6">
        <v>76.58</v>
      </c>
      <c r="D142" s="6">
        <v>70.430000000000007</v>
      </c>
      <c r="E142" s="6">
        <v>74.78</v>
      </c>
      <c r="F142" s="6">
        <v>73.55</v>
      </c>
      <c r="G142" s="7">
        <v>305735400</v>
      </c>
    </row>
    <row r="143" spans="1:7" ht="18" x14ac:dyDescent="0.2">
      <c r="A143" s="5">
        <v>45748</v>
      </c>
      <c r="B143" s="6">
        <v>70.84</v>
      </c>
      <c r="C143" s="6">
        <v>72.47</v>
      </c>
      <c r="D143" s="6">
        <v>58.42</v>
      </c>
      <c r="E143" s="6">
        <v>71.010000000000005</v>
      </c>
      <c r="F143" s="6">
        <v>69.84</v>
      </c>
      <c r="G143" s="7">
        <v>493519900</v>
      </c>
    </row>
    <row r="144" spans="1:7" ht="18" x14ac:dyDescent="0.2">
      <c r="A144" s="5">
        <v>45717</v>
      </c>
      <c r="B144" s="6">
        <v>78.86</v>
      </c>
      <c r="C144" s="6">
        <v>78.98</v>
      </c>
      <c r="D144" s="6">
        <v>65.52</v>
      </c>
      <c r="E144" s="6">
        <v>71.790000000000006</v>
      </c>
      <c r="F144" s="6">
        <v>70.61</v>
      </c>
      <c r="G144" s="7">
        <v>363280500</v>
      </c>
    </row>
    <row r="145" spans="1:7" ht="18" x14ac:dyDescent="0.2">
      <c r="A145" s="5">
        <v>45689</v>
      </c>
      <c r="B145" s="6">
        <v>77.23</v>
      </c>
      <c r="C145" s="6">
        <v>81.5</v>
      </c>
      <c r="D145" s="6">
        <v>74.930000000000007</v>
      </c>
      <c r="E145" s="6">
        <v>78.319999999999993</v>
      </c>
      <c r="F145" s="6">
        <v>76.650000000000006</v>
      </c>
      <c r="G145" s="7">
        <v>298858000</v>
      </c>
    </row>
    <row r="146" spans="1:7" ht="18" x14ac:dyDescent="0.2">
      <c r="A146" s="5">
        <v>45658</v>
      </c>
      <c r="B146" s="6">
        <v>70.48</v>
      </c>
      <c r="C146" s="6">
        <v>79.290000000000006</v>
      </c>
      <c r="D146" s="6">
        <v>69.34</v>
      </c>
      <c r="E146" s="6">
        <v>78.8</v>
      </c>
      <c r="F146" s="6">
        <v>77.12</v>
      </c>
      <c r="G146" s="7">
        <v>300692400</v>
      </c>
    </row>
    <row r="147" spans="1:7" ht="18" x14ac:dyDescent="0.2">
      <c r="A147" s="5">
        <v>45627</v>
      </c>
      <c r="B147" s="6">
        <v>76.95</v>
      </c>
      <c r="C147" s="6">
        <v>76.95</v>
      </c>
      <c r="D147" s="6">
        <v>68.61</v>
      </c>
      <c r="E147" s="6">
        <v>70.239999999999995</v>
      </c>
      <c r="F147" s="6">
        <v>68.75</v>
      </c>
      <c r="G147" s="7">
        <v>322967900</v>
      </c>
    </row>
    <row r="148" spans="1:7" ht="18" x14ac:dyDescent="0.2">
      <c r="A148" s="5">
        <v>45597</v>
      </c>
      <c r="B148" s="6">
        <v>65.22</v>
      </c>
      <c r="C148" s="6">
        <v>78.13</v>
      </c>
      <c r="D148" s="6">
        <v>63.05</v>
      </c>
      <c r="E148" s="6">
        <v>76.17</v>
      </c>
      <c r="F148" s="6">
        <v>74.12</v>
      </c>
      <c r="G148" s="7">
        <v>382978600</v>
      </c>
    </row>
    <row r="149" spans="1:7" ht="18" x14ac:dyDescent="0.2">
      <c r="A149" s="5">
        <v>45566</v>
      </c>
      <c r="B149" s="6">
        <v>56</v>
      </c>
      <c r="C149" s="6">
        <v>66.400000000000006</v>
      </c>
      <c r="D149" s="6">
        <v>54.41</v>
      </c>
      <c r="E149" s="6">
        <v>64.92</v>
      </c>
      <c r="F149" s="6">
        <v>63.18</v>
      </c>
      <c r="G149" s="7">
        <v>387173600</v>
      </c>
    </row>
    <row r="150" spans="1:7" ht="18" x14ac:dyDescent="0.2">
      <c r="A150" s="5">
        <v>45536</v>
      </c>
      <c r="B150" s="6">
        <v>58.62</v>
      </c>
      <c r="C150" s="6">
        <v>59</v>
      </c>
      <c r="D150" s="6">
        <v>50.22</v>
      </c>
      <c r="E150" s="6">
        <v>56.49</v>
      </c>
      <c r="F150" s="6">
        <v>54.97</v>
      </c>
      <c r="G150" s="7">
        <v>420231200</v>
      </c>
    </row>
    <row r="151" spans="1:7" ht="18" x14ac:dyDescent="0.2">
      <c r="A151" s="5">
        <v>45505</v>
      </c>
      <c r="B151" s="6">
        <v>59.26</v>
      </c>
      <c r="C151" s="6">
        <v>59.34</v>
      </c>
      <c r="D151" s="6">
        <v>50.15</v>
      </c>
      <c r="E151" s="6">
        <v>58.47</v>
      </c>
      <c r="F151" s="6">
        <v>56.47</v>
      </c>
      <c r="G151" s="7">
        <v>348723100</v>
      </c>
    </row>
    <row r="152" spans="1:7" ht="18" x14ac:dyDescent="0.2">
      <c r="A152" s="5">
        <v>45474</v>
      </c>
      <c r="B152" s="6">
        <v>59.61</v>
      </c>
      <c r="C152" s="6">
        <v>61.18</v>
      </c>
      <c r="D152" s="6">
        <v>55.6</v>
      </c>
      <c r="E152" s="6">
        <v>59.34</v>
      </c>
      <c r="F152" s="6">
        <v>57.31</v>
      </c>
      <c r="G152" s="7">
        <v>343211000</v>
      </c>
    </row>
    <row r="153" spans="1:7" ht="18" x14ac:dyDescent="0.2">
      <c r="A153" s="5">
        <v>45444</v>
      </c>
      <c r="B153" s="6">
        <v>60.2</v>
      </c>
      <c r="C153" s="6">
        <v>60.2</v>
      </c>
      <c r="D153" s="6">
        <v>56.33</v>
      </c>
      <c r="E153" s="6">
        <v>59.39</v>
      </c>
      <c r="F153" s="6">
        <v>57.36</v>
      </c>
      <c r="G153" s="7">
        <v>377118800</v>
      </c>
    </row>
    <row r="154" spans="1:7" ht="18" x14ac:dyDescent="0.2">
      <c r="A154" s="5">
        <v>45413</v>
      </c>
      <c r="B154" s="6">
        <v>59.58</v>
      </c>
      <c r="C154" s="6">
        <v>62.55</v>
      </c>
      <c r="D154" s="6">
        <v>58.42</v>
      </c>
      <c r="E154" s="6">
        <v>59.92</v>
      </c>
      <c r="F154" s="6">
        <v>57.54</v>
      </c>
      <c r="G154" s="7">
        <v>342804600</v>
      </c>
    </row>
    <row r="155" spans="1:7" ht="18" x14ac:dyDescent="0.2">
      <c r="A155" s="5">
        <v>45383</v>
      </c>
      <c r="B155" s="6">
        <v>57.88</v>
      </c>
      <c r="C155" s="6">
        <v>61.76</v>
      </c>
      <c r="D155" s="6">
        <v>55.34</v>
      </c>
      <c r="E155" s="6">
        <v>59.32</v>
      </c>
      <c r="F155" s="6">
        <v>56.96</v>
      </c>
      <c r="G155" s="7">
        <v>413690600</v>
      </c>
    </row>
    <row r="156" spans="1:7" ht="18" x14ac:dyDescent="0.2">
      <c r="A156" s="5">
        <v>45352</v>
      </c>
      <c r="B156" s="6">
        <v>55.4</v>
      </c>
      <c r="C156" s="6">
        <v>58.44</v>
      </c>
      <c r="D156" s="6">
        <v>54.73</v>
      </c>
      <c r="E156" s="6">
        <v>57.96</v>
      </c>
      <c r="F156" s="6">
        <v>55.65</v>
      </c>
      <c r="G156" s="7">
        <v>384218700</v>
      </c>
    </row>
    <row r="157" spans="1:7" ht="18" x14ac:dyDescent="0.2">
      <c r="A157" s="5">
        <v>45323</v>
      </c>
      <c r="B157" s="6">
        <v>49.82</v>
      </c>
      <c r="C157" s="6">
        <v>55.7</v>
      </c>
      <c r="D157" s="6">
        <v>47.45</v>
      </c>
      <c r="E157" s="6">
        <v>55.59</v>
      </c>
      <c r="F157" s="6">
        <v>53.01</v>
      </c>
      <c r="G157" s="7">
        <v>395337800</v>
      </c>
    </row>
    <row r="158" spans="1:7" ht="18" x14ac:dyDescent="0.2">
      <c r="A158" s="5">
        <v>45292</v>
      </c>
      <c r="B158" s="6">
        <v>49.05</v>
      </c>
      <c r="C158" s="6">
        <v>51.44</v>
      </c>
      <c r="D158" s="6">
        <v>46.12</v>
      </c>
      <c r="E158" s="6">
        <v>50.18</v>
      </c>
      <c r="F158" s="6">
        <v>47.85</v>
      </c>
      <c r="G158" s="7">
        <v>388441000</v>
      </c>
    </row>
    <row r="159" spans="1:7" ht="18" x14ac:dyDescent="0.2">
      <c r="A159" s="5">
        <v>45261</v>
      </c>
      <c r="B159" s="6">
        <v>44.51</v>
      </c>
      <c r="C159" s="6">
        <v>50.77</v>
      </c>
      <c r="D159" s="6">
        <v>44.38</v>
      </c>
      <c r="E159" s="6">
        <v>49.22</v>
      </c>
      <c r="F159" s="6">
        <v>46.93</v>
      </c>
      <c r="G159" s="7">
        <v>382836700</v>
      </c>
    </row>
    <row r="160" spans="1:7" ht="18" x14ac:dyDescent="0.2">
      <c r="A160" s="5">
        <v>45231</v>
      </c>
      <c r="B160" s="6">
        <v>39.96</v>
      </c>
      <c r="C160" s="6">
        <v>44.75</v>
      </c>
      <c r="D160" s="6">
        <v>39.28</v>
      </c>
      <c r="E160" s="6">
        <v>44.59</v>
      </c>
      <c r="F160" s="6">
        <v>42.14</v>
      </c>
      <c r="G160" s="7">
        <v>328148500</v>
      </c>
    </row>
    <row r="161" spans="1:7" ht="18" x14ac:dyDescent="0.2">
      <c r="A161" s="5">
        <v>45200</v>
      </c>
      <c r="B161" s="6">
        <v>40.700000000000003</v>
      </c>
      <c r="C161" s="6">
        <v>42.37</v>
      </c>
      <c r="D161" s="6">
        <v>38.39</v>
      </c>
      <c r="E161" s="6">
        <v>39.770000000000003</v>
      </c>
      <c r="F161" s="6">
        <v>37.590000000000003</v>
      </c>
      <c r="G161" s="7">
        <v>341744500</v>
      </c>
    </row>
    <row r="162" spans="1:7" ht="18" x14ac:dyDescent="0.2">
      <c r="A162" s="5">
        <v>45170</v>
      </c>
      <c r="B162" s="6">
        <v>41.55</v>
      </c>
      <c r="C162" s="6">
        <v>43.74</v>
      </c>
      <c r="D162" s="6">
        <v>40.299999999999997</v>
      </c>
      <c r="E162" s="6">
        <v>40.86</v>
      </c>
      <c r="F162" s="6">
        <v>38.619999999999997</v>
      </c>
      <c r="G162" s="7">
        <v>333548000</v>
      </c>
    </row>
    <row r="163" spans="1:7" ht="18" x14ac:dyDescent="0.2">
      <c r="A163" s="5">
        <v>45139</v>
      </c>
      <c r="B163" s="6">
        <v>46.01</v>
      </c>
      <c r="C163" s="6">
        <v>46.16</v>
      </c>
      <c r="D163" s="6">
        <v>40.770000000000003</v>
      </c>
      <c r="E163" s="6">
        <v>41.29</v>
      </c>
      <c r="F163" s="6">
        <v>38.72</v>
      </c>
      <c r="G163" s="7">
        <v>284173100</v>
      </c>
    </row>
    <row r="164" spans="1:7" ht="18" x14ac:dyDescent="0.2">
      <c r="A164" s="5">
        <v>45108</v>
      </c>
      <c r="B164" s="6">
        <v>42.88</v>
      </c>
      <c r="C164" s="6">
        <v>47.24</v>
      </c>
      <c r="D164" s="6">
        <v>42.07</v>
      </c>
      <c r="E164" s="6">
        <v>46.16</v>
      </c>
      <c r="F164" s="6">
        <v>43.29</v>
      </c>
      <c r="G164" s="7">
        <v>340830500</v>
      </c>
    </row>
    <row r="165" spans="1:7" ht="18" x14ac:dyDescent="0.2">
      <c r="A165" s="5">
        <v>45078</v>
      </c>
      <c r="B165" s="6">
        <v>40.21</v>
      </c>
      <c r="C165" s="6">
        <v>43.34</v>
      </c>
      <c r="D165" s="6">
        <v>39.68</v>
      </c>
      <c r="E165" s="6">
        <v>42.68</v>
      </c>
      <c r="F165" s="6">
        <v>40.020000000000003</v>
      </c>
      <c r="G165" s="7">
        <v>363195000</v>
      </c>
    </row>
    <row r="166" spans="1:7" ht="18" x14ac:dyDescent="0.2">
      <c r="A166" s="5">
        <v>45047</v>
      </c>
      <c r="B166" s="6">
        <v>40.49</v>
      </c>
      <c r="C166" s="6">
        <v>42.12</v>
      </c>
      <c r="D166" s="6">
        <v>36.4</v>
      </c>
      <c r="E166" s="6">
        <v>39.81</v>
      </c>
      <c r="F166" s="6">
        <v>37.04</v>
      </c>
      <c r="G166" s="7">
        <v>538516100</v>
      </c>
    </row>
    <row r="167" spans="1:7" ht="18" x14ac:dyDescent="0.2">
      <c r="A167" s="5">
        <v>45017</v>
      </c>
      <c r="B167" s="6">
        <v>37.520000000000003</v>
      </c>
      <c r="C167" s="6">
        <v>42.41</v>
      </c>
      <c r="D167" s="6">
        <v>36.270000000000003</v>
      </c>
      <c r="E167" s="6">
        <v>39.75</v>
      </c>
      <c r="F167" s="6">
        <v>36.99</v>
      </c>
      <c r="G167" s="7">
        <v>450940100</v>
      </c>
    </row>
    <row r="168" spans="1:7" ht="18" x14ac:dyDescent="0.2">
      <c r="A168" s="5">
        <v>44986</v>
      </c>
      <c r="B168" s="6">
        <v>46.5</v>
      </c>
      <c r="C168" s="6">
        <v>47.18</v>
      </c>
      <c r="D168" s="6">
        <v>35.25</v>
      </c>
      <c r="E168" s="6">
        <v>37.380000000000003</v>
      </c>
      <c r="F168" s="6">
        <v>34.78</v>
      </c>
      <c r="G168" s="7">
        <v>730423100</v>
      </c>
    </row>
    <row r="169" spans="1:7" ht="18" x14ac:dyDescent="0.2">
      <c r="A169" s="5">
        <v>44958</v>
      </c>
      <c r="B169" s="6">
        <v>46.66</v>
      </c>
      <c r="C169" s="6">
        <v>48.84</v>
      </c>
      <c r="D169" s="6">
        <v>45.69</v>
      </c>
      <c r="E169" s="6">
        <v>46.77</v>
      </c>
      <c r="F169" s="6">
        <v>43.24</v>
      </c>
      <c r="G169" s="7">
        <v>314575300</v>
      </c>
    </row>
    <row r="170" spans="1:7" ht="18" x14ac:dyDescent="0.2">
      <c r="A170" s="5">
        <v>44927</v>
      </c>
      <c r="B170" s="6">
        <v>41.61</v>
      </c>
      <c r="C170" s="6">
        <v>46.88</v>
      </c>
      <c r="D170" s="6">
        <v>40.46</v>
      </c>
      <c r="E170" s="6">
        <v>46.87</v>
      </c>
      <c r="F170" s="6">
        <v>43.34</v>
      </c>
      <c r="G170" s="7">
        <v>398335300</v>
      </c>
    </row>
    <row r="171" spans="1:7" ht="18" x14ac:dyDescent="0.2">
      <c r="A171" s="5">
        <v>44896</v>
      </c>
      <c r="B171" s="6">
        <v>47.93</v>
      </c>
      <c r="C171" s="6">
        <v>48.18</v>
      </c>
      <c r="D171" s="6">
        <v>40.020000000000003</v>
      </c>
      <c r="E171" s="6">
        <v>41.29</v>
      </c>
      <c r="F171" s="6">
        <v>38.18</v>
      </c>
      <c r="G171" s="7">
        <v>414604800</v>
      </c>
    </row>
    <row r="172" spans="1:7" ht="18" x14ac:dyDescent="0.2">
      <c r="A172" s="5">
        <v>44866</v>
      </c>
      <c r="B172" s="6">
        <v>46.58</v>
      </c>
      <c r="C172" s="6">
        <v>48.36</v>
      </c>
      <c r="D172" s="6">
        <v>45.41</v>
      </c>
      <c r="E172" s="6">
        <v>47.95</v>
      </c>
      <c r="F172" s="6">
        <v>44.05</v>
      </c>
      <c r="G172" s="7">
        <v>348895000</v>
      </c>
    </row>
    <row r="173" spans="1:7" ht="18" x14ac:dyDescent="0.2">
      <c r="A173" s="5">
        <v>44835</v>
      </c>
      <c r="B173" s="6">
        <v>41.29</v>
      </c>
      <c r="C173" s="6">
        <v>46.52</v>
      </c>
      <c r="D173" s="6">
        <v>39.75</v>
      </c>
      <c r="E173" s="6">
        <v>45.99</v>
      </c>
      <c r="F173" s="6">
        <v>42.25</v>
      </c>
      <c r="G173" s="7">
        <v>383039100</v>
      </c>
    </row>
    <row r="174" spans="1:7" ht="18" x14ac:dyDescent="0.2">
      <c r="A174" s="5">
        <v>44805</v>
      </c>
      <c r="B174" s="6">
        <v>43.66</v>
      </c>
      <c r="C174" s="6">
        <v>46.14</v>
      </c>
      <c r="D174" s="6">
        <v>39.340000000000003</v>
      </c>
      <c r="E174" s="6">
        <v>40.22</v>
      </c>
      <c r="F174" s="6">
        <v>36.950000000000003</v>
      </c>
      <c r="G174" s="7">
        <v>354330500</v>
      </c>
    </row>
    <row r="175" spans="1:7" ht="18" x14ac:dyDescent="0.2">
      <c r="A175" s="5">
        <v>44774</v>
      </c>
      <c r="B175" s="6">
        <v>43.44</v>
      </c>
      <c r="C175" s="6">
        <v>46.32</v>
      </c>
      <c r="D175" s="6">
        <v>42.53</v>
      </c>
      <c r="E175" s="6">
        <v>43.71</v>
      </c>
      <c r="F175" s="6">
        <v>39.880000000000003</v>
      </c>
      <c r="G175" s="7">
        <v>308752700</v>
      </c>
    </row>
    <row r="176" spans="1:7" ht="18" x14ac:dyDescent="0.2">
      <c r="A176" s="5">
        <v>44743</v>
      </c>
      <c r="B176" s="6">
        <v>38.72</v>
      </c>
      <c r="C176" s="6">
        <v>44.35</v>
      </c>
      <c r="D176" s="6">
        <v>37.43</v>
      </c>
      <c r="E176" s="6">
        <v>43.87</v>
      </c>
      <c r="F176" s="6">
        <v>40.03</v>
      </c>
      <c r="G176" s="7">
        <v>377913800</v>
      </c>
    </row>
    <row r="177" spans="1:7" ht="18" x14ac:dyDescent="0.2">
      <c r="A177" s="5">
        <v>44713</v>
      </c>
      <c r="B177" s="6">
        <v>45.96</v>
      </c>
      <c r="C177" s="6">
        <v>46.07</v>
      </c>
      <c r="D177" s="6">
        <v>36.54</v>
      </c>
      <c r="E177" s="6">
        <v>39.17</v>
      </c>
      <c r="F177" s="6">
        <v>35.74</v>
      </c>
      <c r="G177" s="7">
        <v>503139500</v>
      </c>
    </row>
    <row r="178" spans="1:7" ht="18" x14ac:dyDescent="0.2">
      <c r="A178" s="5">
        <v>44682</v>
      </c>
      <c r="B178" s="6">
        <v>43.87</v>
      </c>
      <c r="C178" s="6">
        <v>46.27</v>
      </c>
      <c r="D178" s="6">
        <v>40.74</v>
      </c>
      <c r="E178" s="6">
        <v>45.77</v>
      </c>
      <c r="F178" s="6">
        <v>41.53</v>
      </c>
      <c r="G178" s="7">
        <v>548344800</v>
      </c>
    </row>
    <row r="179" spans="1:7" ht="18" x14ac:dyDescent="0.2">
      <c r="A179" s="5">
        <v>44652</v>
      </c>
      <c r="B179" s="6">
        <v>49.25</v>
      </c>
      <c r="C179" s="6">
        <v>50.19</v>
      </c>
      <c r="D179" s="6">
        <v>43.51</v>
      </c>
      <c r="E179" s="6">
        <v>43.63</v>
      </c>
      <c r="F179" s="6">
        <v>39.590000000000003</v>
      </c>
      <c r="G179" s="7">
        <v>521880200</v>
      </c>
    </row>
    <row r="180" spans="1:7" ht="18" x14ac:dyDescent="0.2">
      <c r="A180" s="5">
        <v>44621</v>
      </c>
      <c r="B180" s="6">
        <v>52.44</v>
      </c>
      <c r="C180" s="6">
        <v>54.2</v>
      </c>
      <c r="D180" s="6">
        <v>45.77</v>
      </c>
      <c r="E180" s="6">
        <v>48.46</v>
      </c>
      <c r="F180" s="6">
        <v>43.97</v>
      </c>
      <c r="G180" s="7">
        <v>754688700</v>
      </c>
    </row>
    <row r="181" spans="1:7" ht="18" x14ac:dyDescent="0.2">
      <c r="A181" s="5">
        <v>44593</v>
      </c>
      <c r="B181" s="6">
        <v>54.72</v>
      </c>
      <c r="C181" s="6">
        <v>60.3</v>
      </c>
      <c r="D181" s="6">
        <v>50.68</v>
      </c>
      <c r="E181" s="6">
        <v>53.37</v>
      </c>
      <c r="F181" s="6">
        <v>48.21</v>
      </c>
      <c r="G181" s="7">
        <v>569263200</v>
      </c>
    </row>
    <row r="182" spans="1:7" ht="18" x14ac:dyDescent="0.2">
      <c r="A182" s="5">
        <v>44562</v>
      </c>
      <c r="B182" s="6">
        <v>48.93</v>
      </c>
      <c r="C182" s="6">
        <v>58.87</v>
      </c>
      <c r="D182" s="6">
        <v>48.92</v>
      </c>
      <c r="E182" s="6">
        <v>53.8</v>
      </c>
      <c r="F182" s="6">
        <v>48.6</v>
      </c>
      <c r="G182" s="7">
        <v>742893200</v>
      </c>
    </row>
    <row r="183" spans="1:7" ht="18" x14ac:dyDescent="0.2">
      <c r="A183" s="5">
        <v>44531</v>
      </c>
      <c r="B183" s="6">
        <v>48.69</v>
      </c>
      <c r="C183" s="6">
        <v>50.82</v>
      </c>
      <c r="D183" s="6">
        <v>46.25</v>
      </c>
      <c r="E183" s="6">
        <v>47.98</v>
      </c>
      <c r="F183" s="6">
        <v>43.34</v>
      </c>
      <c r="G183" s="7">
        <v>518911300</v>
      </c>
    </row>
    <row r="184" spans="1:7" ht="18" x14ac:dyDescent="0.2">
      <c r="A184" s="5">
        <v>44501</v>
      </c>
      <c r="B184" s="6">
        <v>51.56</v>
      </c>
      <c r="C184" s="6">
        <v>52.57</v>
      </c>
      <c r="D184" s="6">
        <v>47.32</v>
      </c>
      <c r="E184" s="6">
        <v>47.78</v>
      </c>
      <c r="F184" s="6">
        <v>43</v>
      </c>
      <c r="G184" s="7">
        <v>501550700</v>
      </c>
    </row>
    <row r="185" spans="1:7" ht="18" x14ac:dyDescent="0.2">
      <c r="A185" s="5">
        <v>44470</v>
      </c>
      <c r="B185" s="6">
        <v>46.55</v>
      </c>
      <c r="C185" s="6">
        <v>51.64</v>
      </c>
      <c r="D185" s="6">
        <v>44.83</v>
      </c>
      <c r="E185" s="6">
        <v>51.16</v>
      </c>
      <c r="F185" s="6">
        <v>46.04</v>
      </c>
      <c r="G185" s="7">
        <v>516094300</v>
      </c>
    </row>
    <row r="186" spans="1:7" ht="18" x14ac:dyDescent="0.2">
      <c r="A186" s="5">
        <v>44440</v>
      </c>
      <c r="B186" s="6">
        <v>45.7</v>
      </c>
      <c r="C186" s="6">
        <v>48.94</v>
      </c>
      <c r="D186" s="6">
        <v>43.27</v>
      </c>
      <c r="E186" s="6">
        <v>46.41</v>
      </c>
      <c r="F186" s="6">
        <v>41.76</v>
      </c>
      <c r="G186" s="7">
        <v>651312400</v>
      </c>
    </row>
    <row r="187" spans="1:7" ht="18" x14ac:dyDescent="0.2">
      <c r="A187" s="5">
        <v>44409</v>
      </c>
      <c r="B187" s="6">
        <v>46.04</v>
      </c>
      <c r="C187" s="6">
        <v>51.41</v>
      </c>
      <c r="D187" s="6">
        <v>45.11</v>
      </c>
      <c r="E187" s="6">
        <v>45.7</v>
      </c>
      <c r="F187" s="6">
        <v>40.950000000000003</v>
      </c>
      <c r="G187" s="7">
        <v>528672200</v>
      </c>
    </row>
    <row r="188" spans="1:7" ht="18" x14ac:dyDescent="0.2">
      <c r="A188" s="5">
        <v>44378</v>
      </c>
      <c r="B188" s="6">
        <v>45.48</v>
      </c>
      <c r="C188" s="6">
        <v>46.85</v>
      </c>
      <c r="D188" s="6">
        <v>41.97</v>
      </c>
      <c r="E188" s="6">
        <v>45.94</v>
      </c>
      <c r="F188" s="6">
        <v>41.16</v>
      </c>
      <c r="G188" s="7">
        <v>560767400</v>
      </c>
    </row>
    <row r="189" spans="1:7" ht="18" x14ac:dyDescent="0.2">
      <c r="A189" s="5">
        <v>44348</v>
      </c>
      <c r="B189" s="6">
        <v>47.16</v>
      </c>
      <c r="C189" s="6">
        <v>47.46</v>
      </c>
      <c r="D189" s="6">
        <v>41.47</v>
      </c>
      <c r="E189" s="6">
        <v>45.29</v>
      </c>
      <c r="F189" s="6">
        <v>40.58</v>
      </c>
      <c r="G189" s="7">
        <v>607672400</v>
      </c>
    </row>
    <row r="190" spans="1:7" ht="18" x14ac:dyDescent="0.2">
      <c r="A190" s="5">
        <v>44317</v>
      </c>
      <c r="B190" s="6">
        <v>45.45</v>
      </c>
      <c r="C190" s="6">
        <v>48.13</v>
      </c>
      <c r="D190" s="6">
        <v>44.67</v>
      </c>
      <c r="E190" s="6">
        <v>46.72</v>
      </c>
      <c r="F190" s="6">
        <v>41.77</v>
      </c>
      <c r="G190" s="7">
        <v>526684700</v>
      </c>
    </row>
    <row r="191" spans="1:7" ht="18" x14ac:dyDescent="0.2">
      <c r="A191" s="5">
        <v>44287</v>
      </c>
      <c r="B191" s="6">
        <v>38.96</v>
      </c>
      <c r="C191" s="6">
        <v>46.39</v>
      </c>
      <c r="D191" s="6">
        <v>38.92</v>
      </c>
      <c r="E191" s="6">
        <v>45.05</v>
      </c>
      <c r="F191" s="6">
        <v>40.28</v>
      </c>
      <c r="G191" s="7">
        <v>634499100</v>
      </c>
    </row>
    <row r="192" spans="1:7" ht="18" x14ac:dyDescent="0.2">
      <c r="A192" s="5">
        <v>44256</v>
      </c>
      <c r="B192" s="6">
        <v>37.11</v>
      </c>
      <c r="C192" s="6">
        <v>41.54</v>
      </c>
      <c r="D192" s="6">
        <v>36.340000000000003</v>
      </c>
      <c r="E192" s="6">
        <v>39.07</v>
      </c>
      <c r="F192" s="6">
        <v>34.93</v>
      </c>
      <c r="G192" s="7">
        <v>781557400</v>
      </c>
    </row>
    <row r="193" spans="1:7" ht="18" x14ac:dyDescent="0.2">
      <c r="A193" s="5">
        <v>44228</v>
      </c>
      <c r="B193" s="6">
        <v>30.14</v>
      </c>
      <c r="C193" s="6">
        <v>38.68</v>
      </c>
      <c r="D193" s="6">
        <v>29.68</v>
      </c>
      <c r="E193" s="6">
        <v>36.17</v>
      </c>
      <c r="F193" s="6">
        <v>32.24</v>
      </c>
      <c r="G193" s="7">
        <v>655506000</v>
      </c>
    </row>
    <row r="194" spans="1:7" ht="18" x14ac:dyDescent="0.2">
      <c r="A194" s="5">
        <v>44197</v>
      </c>
      <c r="B194" s="6">
        <v>30.32</v>
      </c>
      <c r="C194" s="6">
        <v>35.1</v>
      </c>
      <c r="D194" s="6">
        <v>29.4</v>
      </c>
      <c r="E194" s="6">
        <v>29.88</v>
      </c>
      <c r="F194" s="6">
        <v>26.63</v>
      </c>
      <c r="G194" s="7">
        <v>798079600</v>
      </c>
    </row>
    <row r="195" spans="1:7" ht="18" x14ac:dyDescent="0.2">
      <c r="A195" s="5">
        <v>44166</v>
      </c>
      <c r="B195" s="6">
        <v>28.15</v>
      </c>
      <c r="C195" s="6">
        <v>30.49</v>
      </c>
      <c r="D195" s="6">
        <v>27.85</v>
      </c>
      <c r="E195" s="6">
        <v>30.18</v>
      </c>
      <c r="F195" s="6">
        <v>26.9</v>
      </c>
      <c r="G195" s="7">
        <v>737667600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99FE2-4707-4644-9A23-B511A104AF6B}">
  <dimension ref="A1:V193"/>
  <sheetViews>
    <sheetView topLeftCell="A77" workbookViewId="0">
      <selection activeCell="Q1" sqref="A1:Q193"/>
    </sheetView>
  </sheetViews>
  <sheetFormatPr baseColWidth="10" defaultRowHeight="16" x14ac:dyDescent="0.2"/>
  <cols>
    <col min="1" max="1" width="12.33203125" bestFit="1" customWidth="1"/>
    <col min="7" max="7" width="14.5" bestFit="1" customWidth="1"/>
  </cols>
  <sheetData>
    <row r="1" spans="1:14" x14ac:dyDescent="0.2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K1" s="8" t="s">
        <v>7</v>
      </c>
      <c r="L1" s="8" t="s">
        <v>14</v>
      </c>
      <c r="M1" s="8" t="s">
        <v>15</v>
      </c>
      <c r="N1" s="8" t="s">
        <v>16</v>
      </c>
    </row>
    <row r="2" spans="1:14" ht="18" x14ac:dyDescent="0.2">
      <c r="A2" s="5"/>
      <c r="B2" s="6"/>
      <c r="C2" s="6"/>
      <c r="D2" s="6"/>
      <c r="E2" s="6"/>
      <c r="F2" s="6"/>
      <c r="G2" s="7"/>
      <c r="K2" s="9">
        <v>45962</v>
      </c>
      <c r="L2">
        <f>(F3-F4)/F4</f>
        <v>3.0033637674195101E-2</v>
      </c>
      <c r="M2">
        <f t="shared" ref="M2:M33" si="0">(F69-F70)/F70</f>
        <v>3.1241830065359483E-2</v>
      </c>
      <c r="N2">
        <f t="shared" ref="N2:N33" si="1">(F134-F135)/F135</f>
        <v>2.4647098364328798E-3</v>
      </c>
    </row>
    <row r="3" spans="1:14" ht="18" x14ac:dyDescent="0.2">
      <c r="A3" s="5">
        <v>45962</v>
      </c>
      <c r="B3" s="6">
        <v>41.43</v>
      </c>
      <c r="C3" s="6">
        <v>42.93</v>
      </c>
      <c r="D3" s="6">
        <v>40.950000000000003</v>
      </c>
      <c r="E3" s="6">
        <v>42.87</v>
      </c>
      <c r="F3" s="6">
        <v>42.87</v>
      </c>
      <c r="G3" s="7">
        <v>45482400</v>
      </c>
      <c r="K3" s="9">
        <v>45931</v>
      </c>
      <c r="L3">
        <f t="shared" ref="L3:L33" si="2">(F4-F5)/F5</f>
        <v>-5.751811594202897E-2</v>
      </c>
      <c r="M3">
        <f t="shared" si="0"/>
        <v>0.12781954887218047</v>
      </c>
      <c r="N3">
        <f t="shared" si="1"/>
        <v>-2.3840769903761948E-2</v>
      </c>
    </row>
    <row r="4" spans="1:14" ht="18" x14ac:dyDescent="0.2">
      <c r="A4" s="5">
        <v>45931</v>
      </c>
      <c r="B4" s="6">
        <v>44.37</v>
      </c>
      <c r="C4" s="6">
        <v>45.33</v>
      </c>
      <c r="D4" s="6">
        <v>40.049999999999997</v>
      </c>
      <c r="E4" s="6">
        <v>41.62</v>
      </c>
      <c r="F4" s="6">
        <v>41.62</v>
      </c>
      <c r="G4" s="7">
        <v>228214400</v>
      </c>
      <c r="K4" s="9">
        <v>45901</v>
      </c>
      <c r="L4">
        <f t="shared" si="2"/>
        <v>-2.666960546616709E-2</v>
      </c>
      <c r="M4">
        <f t="shared" si="0"/>
        <v>-2.9197080291970892E-2</v>
      </c>
      <c r="N4">
        <f t="shared" si="1"/>
        <v>-1.1459459459459484E-2</v>
      </c>
    </row>
    <row r="5" spans="1:14" ht="18" x14ac:dyDescent="0.2">
      <c r="A5" s="5">
        <v>45901</v>
      </c>
      <c r="B5" s="6">
        <v>45.18</v>
      </c>
      <c r="C5" s="6">
        <v>46.6</v>
      </c>
      <c r="D5" s="6">
        <v>43.76</v>
      </c>
      <c r="E5" s="6">
        <v>44.55</v>
      </c>
      <c r="F5" s="6">
        <v>44.16</v>
      </c>
      <c r="G5" s="7">
        <v>94544800</v>
      </c>
      <c r="K5" s="9">
        <v>45870</v>
      </c>
      <c r="L5">
        <f t="shared" si="2"/>
        <v>0.10121359223300957</v>
      </c>
      <c r="M5">
        <f t="shared" si="0"/>
        <v>4.455075497084772E-2</v>
      </c>
      <c r="N5">
        <f t="shared" si="1"/>
        <v>7.1097730430754985E-2</v>
      </c>
    </row>
    <row r="6" spans="1:14" ht="18" x14ac:dyDescent="0.2">
      <c r="A6" s="5">
        <v>45870</v>
      </c>
      <c r="B6" s="6">
        <v>40.98</v>
      </c>
      <c r="C6" s="6">
        <v>45.93</v>
      </c>
      <c r="D6" s="6">
        <v>40.22</v>
      </c>
      <c r="E6" s="6">
        <v>45.77</v>
      </c>
      <c r="F6" s="6">
        <v>45.37</v>
      </c>
      <c r="G6" s="7">
        <v>74650200</v>
      </c>
      <c r="K6" s="9">
        <v>45839</v>
      </c>
      <c r="L6">
        <f t="shared" si="2"/>
        <v>1.980198019801991E-2</v>
      </c>
      <c r="M6">
        <f t="shared" si="0"/>
        <v>0.14694787379972565</v>
      </c>
      <c r="N6">
        <f t="shared" si="1"/>
        <v>1.6717683070402656E-2</v>
      </c>
    </row>
    <row r="7" spans="1:14" ht="18" x14ac:dyDescent="0.2">
      <c r="A7" s="5">
        <v>45839</v>
      </c>
      <c r="B7" s="6">
        <v>40.799999999999997</v>
      </c>
      <c r="C7" s="6">
        <v>44.34</v>
      </c>
      <c r="D7" s="6">
        <v>40.630000000000003</v>
      </c>
      <c r="E7" s="6">
        <v>41.57</v>
      </c>
      <c r="F7" s="6">
        <v>41.2</v>
      </c>
      <c r="G7" s="7">
        <v>133485600</v>
      </c>
      <c r="K7" s="9">
        <v>45809</v>
      </c>
      <c r="L7">
        <f t="shared" si="2"/>
        <v>7.6759061833688566E-2</v>
      </c>
      <c r="M7">
        <f t="shared" si="0"/>
        <v>4.4786814761734142E-2</v>
      </c>
      <c r="N7">
        <f t="shared" si="1"/>
        <v>0.1028304336535965</v>
      </c>
    </row>
    <row r="8" spans="1:14" ht="18" x14ac:dyDescent="0.2">
      <c r="A8" s="5">
        <v>45809</v>
      </c>
      <c r="B8" s="6">
        <v>38</v>
      </c>
      <c r="C8" s="6">
        <v>41.61</v>
      </c>
      <c r="D8" s="6">
        <v>37.28</v>
      </c>
      <c r="E8" s="6">
        <v>41.13</v>
      </c>
      <c r="F8" s="6">
        <v>40.4</v>
      </c>
      <c r="G8" s="7">
        <v>105427600</v>
      </c>
      <c r="K8" s="9">
        <v>45778</v>
      </c>
      <c r="L8">
        <f t="shared" si="2"/>
        <v>6.2588501840838306E-2</v>
      </c>
      <c r="M8">
        <f t="shared" si="0"/>
        <v>6.222645099904859E-2</v>
      </c>
      <c r="N8">
        <f t="shared" si="1"/>
        <v>3.0230069555912127E-2</v>
      </c>
    </row>
    <row r="9" spans="1:14" ht="18" x14ac:dyDescent="0.2">
      <c r="A9" s="5">
        <v>45778</v>
      </c>
      <c r="B9" s="6">
        <v>35.85</v>
      </c>
      <c r="C9" s="6">
        <v>39.78</v>
      </c>
      <c r="D9" s="6">
        <v>35.549999999999997</v>
      </c>
      <c r="E9" s="6">
        <v>38.19</v>
      </c>
      <c r="F9" s="6">
        <v>37.520000000000003</v>
      </c>
      <c r="G9" s="7">
        <v>74985000</v>
      </c>
      <c r="K9" s="9">
        <v>45748</v>
      </c>
      <c r="L9">
        <f t="shared" si="2"/>
        <v>-7.4200314630309336E-2</v>
      </c>
      <c r="M9">
        <f t="shared" si="0"/>
        <v>-7.839354612416706E-2</v>
      </c>
      <c r="N9">
        <f t="shared" si="1"/>
        <v>-6.8295114656031775E-2</v>
      </c>
    </row>
    <row r="10" spans="1:14" ht="18" x14ac:dyDescent="0.2">
      <c r="A10" s="5">
        <v>45748</v>
      </c>
      <c r="B10" s="6">
        <v>38.869999999999997</v>
      </c>
      <c r="C10" s="6">
        <v>39.729999999999997</v>
      </c>
      <c r="D10" s="6">
        <v>32.25</v>
      </c>
      <c r="E10" s="6">
        <v>35.94</v>
      </c>
      <c r="F10" s="6">
        <v>35.31</v>
      </c>
      <c r="G10" s="7">
        <v>128608600</v>
      </c>
      <c r="K10" s="9">
        <v>45717</v>
      </c>
      <c r="L10">
        <f t="shared" si="2"/>
        <v>-9.834515366430252E-2</v>
      </c>
      <c r="M10">
        <f t="shared" si="0"/>
        <v>-8.1951376589921049E-2</v>
      </c>
      <c r="N10">
        <f t="shared" si="1"/>
        <v>-0.10205908683974937</v>
      </c>
    </row>
    <row r="11" spans="1:14" ht="18" x14ac:dyDescent="0.2">
      <c r="A11" s="5">
        <v>45717</v>
      </c>
      <c r="B11" s="6">
        <v>43.7</v>
      </c>
      <c r="C11" s="6">
        <v>44.31</v>
      </c>
      <c r="D11" s="6">
        <v>37.450000000000003</v>
      </c>
      <c r="E11" s="6">
        <v>39.200000000000003</v>
      </c>
      <c r="F11" s="6">
        <v>38.14</v>
      </c>
      <c r="G11" s="7">
        <v>114104100</v>
      </c>
      <c r="K11" s="9">
        <v>45689</v>
      </c>
      <c r="L11">
        <f t="shared" si="2"/>
        <v>-1.8789144050104439E-2</v>
      </c>
      <c r="M11">
        <f t="shared" si="0"/>
        <v>-4.4461538461538469E-2</v>
      </c>
      <c r="N11">
        <f t="shared" si="1"/>
        <v>-2.6579520697167732E-2</v>
      </c>
    </row>
    <row r="12" spans="1:14" ht="18" x14ac:dyDescent="0.2">
      <c r="A12" s="5">
        <v>45689</v>
      </c>
      <c r="B12" s="6">
        <v>43.48</v>
      </c>
      <c r="C12" s="6">
        <v>44.52</v>
      </c>
      <c r="D12" s="6">
        <v>42.67</v>
      </c>
      <c r="E12" s="6">
        <v>43.47</v>
      </c>
      <c r="F12" s="6">
        <v>42.3</v>
      </c>
      <c r="G12" s="7">
        <v>74041900</v>
      </c>
      <c r="K12" s="9">
        <v>45658</v>
      </c>
      <c r="L12">
        <f t="shared" si="2"/>
        <v>5.713585090730746E-2</v>
      </c>
      <c r="M12">
        <f t="shared" si="0"/>
        <v>0.10020311442112394</v>
      </c>
      <c r="N12">
        <f t="shared" si="1"/>
        <v>9.7560975609756059E-2</v>
      </c>
    </row>
    <row r="13" spans="1:14" ht="18" x14ac:dyDescent="0.2">
      <c r="A13" s="5">
        <v>45658</v>
      </c>
      <c r="B13" s="6">
        <v>42.57</v>
      </c>
      <c r="C13" s="6">
        <v>45.42</v>
      </c>
      <c r="D13" s="6">
        <v>40.92</v>
      </c>
      <c r="E13" s="6">
        <v>44.31</v>
      </c>
      <c r="F13" s="6">
        <v>43.11</v>
      </c>
      <c r="G13" s="7">
        <v>102678500</v>
      </c>
      <c r="K13" s="9">
        <v>45627</v>
      </c>
      <c r="L13">
        <f t="shared" si="2"/>
        <v>-0.12036238136324415</v>
      </c>
      <c r="M13">
        <f t="shared" si="0"/>
        <v>-0.14389218953774824</v>
      </c>
      <c r="N13">
        <f t="shared" si="1"/>
        <v>-7.9665492957746428E-2</v>
      </c>
    </row>
    <row r="14" spans="1:14" ht="18" x14ac:dyDescent="0.2">
      <c r="A14" s="5">
        <v>45627</v>
      </c>
      <c r="B14" s="6">
        <v>47.99</v>
      </c>
      <c r="C14" s="6">
        <v>48.19</v>
      </c>
      <c r="D14" s="6">
        <v>41.92</v>
      </c>
      <c r="E14" s="6">
        <v>42.28</v>
      </c>
      <c r="F14" s="6">
        <v>40.78</v>
      </c>
      <c r="G14" s="7">
        <v>90373200</v>
      </c>
      <c r="K14" s="9">
        <v>45597</v>
      </c>
      <c r="L14">
        <f t="shared" si="2"/>
        <v>0.10040351293614994</v>
      </c>
      <c r="M14">
        <f t="shared" si="0"/>
        <v>0.13391390075583315</v>
      </c>
      <c r="N14">
        <f t="shared" si="1"/>
        <v>0.10748233000243715</v>
      </c>
    </row>
    <row r="15" spans="1:14" ht="18" x14ac:dyDescent="0.2">
      <c r="A15" s="5">
        <v>45597</v>
      </c>
      <c r="B15" s="6">
        <v>43.66</v>
      </c>
      <c r="C15" s="6">
        <v>49.07</v>
      </c>
      <c r="D15" s="6">
        <v>42.6</v>
      </c>
      <c r="E15" s="6">
        <v>48.06</v>
      </c>
      <c r="F15" s="6">
        <v>46.36</v>
      </c>
      <c r="G15" s="7">
        <v>82437500</v>
      </c>
      <c r="K15" s="9">
        <v>45566</v>
      </c>
      <c r="L15">
        <f t="shared" si="2"/>
        <v>2.8313400048816297E-2</v>
      </c>
      <c r="M15">
        <f t="shared" si="0"/>
        <v>7.6977526101574975E-2</v>
      </c>
      <c r="N15">
        <f t="shared" si="1"/>
        <v>6.6241413150147973E-3</v>
      </c>
    </row>
    <row r="16" spans="1:14" ht="18" x14ac:dyDescent="0.2">
      <c r="A16" s="5">
        <v>45566</v>
      </c>
      <c r="B16" s="6">
        <v>42.75</v>
      </c>
      <c r="C16" s="6">
        <v>45.71</v>
      </c>
      <c r="D16" s="6">
        <v>41.38</v>
      </c>
      <c r="E16" s="6">
        <v>43.68</v>
      </c>
      <c r="F16" s="6">
        <v>42.13</v>
      </c>
      <c r="G16" s="7">
        <v>99187800</v>
      </c>
      <c r="K16" s="9">
        <v>45536</v>
      </c>
      <c r="L16">
        <f t="shared" si="2"/>
        <v>3.6746692797647862E-3</v>
      </c>
      <c r="M16">
        <f t="shared" si="0"/>
        <v>4.9006868386857264E-2</v>
      </c>
      <c r="N16">
        <f t="shared" si="1"/>
        <v>-2.6045400238948708E-2</v>
      </c>
    </row>
    <row r="17" spans="1:14" ht="18" x14ac:dyDescent="0.2">
      <c r="A17" s="5">
        <v>45536</v>
      </c>
      <c r="B17" s="6">
        <v>42.51</v>
      </c>
      <c r="C17" s="6">
        <v>43.85</v>
      </c>
      <c r="D17" s="6">
        <v>39.56</v>
      </c>
      <c r="E17" s="6">
        <v>42.84</v>
      </c>
      <c r="F17" s="6">
        <v>40.97</v>
      </c>
      <c r="G17" s="7">
        <v>80894600</v>
      </c>
      <c r="K17" s="9">
        <v>45505</v>
      </c>
      <c r="L17">
        <f t="shared" si="2"/>
        <v>8.1501605334650101E-3</v>
      </c>
      <c r="M17">
        <f t="shared" si="0"/>
        <v>4.1972920696324842E-2</v>
      </c>
      <c r="N17">
        <f t="shared" si="1"/>
        <v>-5.2293796054195115E-3</v>
      </c>
    </row>
    <row r="18" spans="1:14" ht="18" x14ac:dyDescent="0.2">
      <c r="A18" s="5">
        <v>45505</v>
      </c>
      <c r="B18" s="6">
        <v>42.28</v>
      </c>
      <c r="C18" s="6">
        <v>42.75</v>
      </c>
      <c r="D18" s="6">
        <v>37.67</v>
      </c>
      <c r="E18" s="6">
        <v>42.69</v>
      </c>
      <c r="F18" s="6">
        <v>40.82</v>
      </c>
      <c r="G18" s="7">
        <v>82538300</v>
      </c>
      <c r="K18" s="9">
        <v>45474</v>
      </c>
      <c r="L18">
        <f t="shared" si="2"/>
        <v>0.17192474674384964</v>
      </c>
      <c r="M18">
        <f t="shared" si="0"/>
        <v>9.0027408812987625E-2</v>
      </c>
      <c r="N18">
        <f t="shared" si="1"/>
        <v>0.15039649986327591</v>
      </c>
    </row>
    <row r="19" spans="1:14" ht="18" x14ac:dyDescent="0.2">
      <c r="A19" s="5">
        <v>45474</v>
      </c>
      <c r="B19" s="6">
        <v>36.49</v>
      </c>
      <c r="C19" s="6">
        <v>42.91</v>
      </c>
      <c r="D19" s="6">
        <v>35.17</v>
      </c>
      <c r="E19" s="6">
        <v>42.34</v>
      </c>
      <c r="F19" s="6">
        <v>40.49</v>
      </c>
      <c r="G19" s="7">
        <v>106460300</v>
      </c>
      <c r="K19" s="9">
        <v>45444</v>
      </c>
      <c r="L19">
        <f t="shared" si="2"/>
        <v>-2.483770815692923E-2</v>
      </c>
      <c r="M19">
        <f t="shared" si="0"/>
        <v>-3.9899202015959206E-3</v>
      </c>
      <c r="N19">
        <f t="shared" si="1"/>
        <v>4.2771599657827203E-2</v>
      </c>
    </row>
    <row r="20" spans="1:14" ht="18" x14ac:dyDescent="0.2">
      <c r="A20" s="5">
        <v>45444</v>
      </c>
      <c r="B20" s="6">
        <v>37.79</v>
      </c>
      <c r="C20" s="6">
        <v>37.79</v>
      </c>
      <c r="D20" s="6">
        <v>34.78</v>
      </c>
      <c r="E20" s="6">
        <v>36.49</v>
      </c>
      <c r="F20" s="6">
        <v>34.549999999999997</v>
      </c>
      <c r="G20" s="7">
        <v>85123800</v>
      </c>
      <c r="K20" s="9">
        <v>45413</v>
      </c>
      <c r="L20">
        <f t="shared" si="2"/>
        <v>2.6361529548087962E-2</v>
      </c>
      <c r="M20">
        <f t="shared" si="0"/>
        <v>2.1230967188505142E-2</v>
      </c>
      <c r="N20">
        <f t="shared" si="1"/>
        <v>5.4472477064219527E-3</v>
      </c>
    </row>
    <row r="21" spans="1:14" ht="18" x14ac:dyDescent="0.2">
      <c r="A21" s="5">
        <v>45413</v>
      </c>
      <c r="B21" s="6">
        <v>36.83</v>
      </c>
      <c r="C21" s="6">
        <v>39.14</v>
      </c>
      <c r="D21" s="6">
        <v>35.65</v>
      </c>
      <c r="E21" s="6">
        <v>37.42</v>
      </c>
      <c r="F21" s="6">
        <v>35.43</v>
      </c>
      <c r="G21" s="7">
        <v>74779600</v>
      </c>
      <c r="K21" s="9">
        <v>45383</v>
      </c>
      <c r="L21">
        <f t="shared" si="2"/>
        <v>-1.0604757810260747E-2</v>
      </c>
      <c r="M21">
        <f t="shared" si="0"/>
        <v>-7.480158730158723E-2</v>
      </c>
      <c r="N21">
        <f t="shared" si="1"/>
        <v>-3.6730185031759136E-2</v>
      </c>
    </row>
    <row r="22" spans="1:14" ht="18" x14ac:dyDescent="0.2">
      <c r="A22" s="5">
        <v>45383</v>
      </c>
      <c r="B22" s="6">
        <v>36.97</v>
      </c>
      <c r="C22" s="6">
        <v>37.28</v>
      </c>
      <c r="D22" s="6">
        <v>33.82</v>
      </c>
      <c r="E22" s="6">
        <v>36.46</v>
      </c>
      <c r="F22" s="6">
        <v>34.520000000000003</v>
      </c>
      <c r="G22" s="7">
        <v>100573700</v>
      </c>
      <c r="K22" s="9">
        <v>45352</v>
      </c>
      <c r="L22">
        <f t="shared" si="2"/>
        <v>8.354037267080737E-2</v>
      </c>
      <c r="M22">
        <f t="shared" si="0"/>
        <v>0.11356606274856387</v>
      </c>
      <c r="N22">
        <f t="shared" si="1"/>
        <v>0.13085571517801367</v>
      </c>
    </row>
    <row r="23" spans="1:14" ht="18" x14ac:dyDescent="0.2">
      <c r="A23" s="5">
        <v>45352</v>
      </c>
      <c r="B23" s="6">
        <v>34.08</v>
      </c>
      <c r="C23" s="6">
        <v>37.409999999999997</v>
      </c>
      <c r="D23" s="6">
        <v>33.479999999999997</v>
      </c>
      <c r="E23" s="6">
        <v>37.21</v>
      </c>
      <c r="F23" s="6">
        <v>34.89</v>
      </c>
      <c r="G23" s="7">
        <v>120656000</v>
      </c>
      <c r="K23" s="9">
        <v>45323</v>
      </c>
      <c r="L23">
        <f t="shared" si="2"/>
        <v>2.8028651510433951E-3</v>
      </c>
      <c r="M23">
        <f t="shared" si="0"/>
        <v>-6.0800996057273293E-2</v>
      </c>
      <c r="N23">
        <f t="shared" si="1"/>
        <v>-5.629236663719412E-2</v>
      </c>
    </row>
    <row r="24" spans="1:14" ht="18" x14ac:dyDescent="0.2">
      <c r="A24" s="5">
        <v>45323</v>
      </c>
      <c r="B24" s="6">
        <v>34.299999999999997</v>
      </c>
      <c r="C24" s="6">
        <v>34.58</v>
      </c>
      <c r="D24" s="6">
        <v>32.29</v>
      </c>
      <c r="E24" s="6">
        <v>34.340000000000003</v>
      </c>
      <c r="F24" s="6">
        <v>32.200000000000003</v>
      </c>
      <c r="G24" s="7">
        <v>97873500</v>
      </c>
      <c r="K24" s="9">
        <v>45292</v>
      </c>
      <c r="L24">
        <f t="shared" si="2"/>
        <v>2.8107432854464804E-3</v>
      </c>
      <c r="M24">
        <f t="shared" si="0"/>
        <v>-4.5175351694075709E-2</v>
      </c>
      <c r="N24">
        <f t="shared" si="1"/>
        <v>3.8461538461539223E-3</v>
      </c>
    </row>
    <row r="25" spans="1:14" ht="18" x14ac:dyDescent="0.2">
      <c r="A25" s="5">
        <v>45292</v>
      </c>
      <c r="B25" s="6">
        <v>34.299999999999997</v>
      </c>
      <c r="C25" s="6">
        <v>35.729999999999997</v>
      </c>
      <c r="D25" s="6">
        <v>32.840000000000003</v>
      </c>
      <c r="E25" s="6">
        <v>34.24</v>
      </c>
      <c r="F25" s="6">
        <v>32.11</v>
      </c>
      <c r="G25" s="7">
        <v>125164200</v>
      </c>
      <c r="K25" s="9">
        <v>45261</v>
      </c>
      <c r="L25">
        <f t="shared" si="2"/>
        <v>0.19122023809523825</v>
      </c>
      <c r="M25">
        <f t="shared" si="0"/>
        <v>0.23428711176326725</v>
      </c>
      <c r="N25">
        <f t="shared" si="1"/>
        <v>0.16874135546334701</v>
      </c>
    </row>
    <row r="26" spans="1:14" ht="18" x14ac:dyDescent="0.2">
      <c r="A26" s="5">
        <v>45261</v>
      </c>
      <c r="B26" s="6">
        <v>28.95</v>
      </c>
      <c r="C26" s="6">
        <v>35.6</v>
      </c>
      <c r="D26" s="6">
        <v>28.77</v>
      </c>
      <c r="E26" s="6">
        <v>34.49</v>
      </c>
      <c r="F26" s="6">
        <v>32.020000000000003</v>
      </c>
      <c r="G26" s="7">
        <v>128030400</v>
      </c>
      <c r="K26" s="9">
        <v>45231</v>
      </c>
      <c r="L26">
        <f t="shared" si="2"/>
        <v>0.22126306224443421</v>
      </c>
      <c r="M26">
        <f t="shared" si="0"/>
        <v>0.14762840303115346</v>
      </c>
      <c r="N26">
        <f t="shared" si="1"/>
        <v>0.13322884012539193</v>
      </c>
    </row>
    <row r="27" spans="1:14" ht="18" x14ac:dyDescent="0.2">
      <c r="A27" s="5">
        <v>45231</v>
      </c>
      <c r="B27" s="6">
        <v>23.65</v>
      </c>
      <c r="C27" s="6">
        <v>29.16</v>
      </c>
      <c r="D27" s="6">
        <v>23.37</v>
      </c>
      <c r="E27" s="6">
        <v>28.95</v>
      </c>
      <c r="F27" s="6">
        <v>26.88</v>
      </c>
      <c r="G27" s="7">
        <v>96451200</v>
      </c>
      <c r="K27" s="9">
        <v>45200</v>
      </c>
      <c r="L27">
        <f t="shared" si="2"/>
        <v>-5.0474547023295867E-2</v>
      </c>
      <c r="M27">
        <f t="shared" si="0"/>
        <v>-3.6245604544224951E-2</v>
      </c>
      <c r="N27">
        <f t="shared" si="1"/>
        <v>-8.5470085470085028E-3</v>
      </c>
    </row>
    <row r="28" spans="1:14" ht="18" x14ac:dyDescent="0.2">
      <c r="A28" s="5">
        <v>45200</v>
      </c>
      <c r="B28" s="6">
        <v>25.36</v>
      </c>
      <c r="C28" s="6">
        <v>25.59</v>
      </c>
      <c r="D28" s="6">
        <v>22.49</v>
      </c>
      <c r="E28" s="6">
        <v>23.71</v>
      </c>
      <c r="F28" s="6">
        <v>22.01</v>
      </c>
      <c r="G28" s="7">
        <v>119364200</v>
      </c>
      <c r="K28" s="9">
        <v>45170</v>
      </c>
      <c r="L28">
        <f t="shared" si="2"/>
        <v>-4.6090534979423906E-2</v>
      </c>
      <c r="M28">
        <f t="shared" si="0"/>
        <v>-0.13641672506423741</v>
      </c>
      <c r="N28">
        <f t="shared" si="1"/>
        <v>-4.8076923076923107E-2</v>
      </c>
    </row>
    <row r="29" spans="1:14" ht="18" x14ac:dyDescent="0.2">
      <c r="A29" s="5">
        <v>45170</v>
      </c>
      <c r="B29" s="6">
        <v>26.77</v>
      </c>
      <c r="C29" s="6">
        <v>28.39</v>
      </c>
      <c r="D29" s="6">
        <v>24.52</v>
      </c>
      <c r="E29" s="6">
        <v>25.33</v>
      </c>
      <c r="F29" s="6">
        <v>23.18</v>
      </c>
      <c r="G29" s="7">
        <v>115119700</v>
      </c>
      <c r="K29" s="9">
        <v>45139</v>
      </c>
      <c r="L29">
        <f t="shared" si="2"/>
        <v>-8.7495306045812932E-2</v>
      </c>
      <c r="M29">
        <f t="shared" si="0"/>
        <v>-0.10831076858987702</v>
      </c>
      <c r="N29">
        <f t="shared" si="1"/>
        <v>-8.0272108843537401E-2</v>
      </c>
    </row>
    <row r="30" spans="1:14" ht="18" x14ac:dyDescent="0.2">
      <c r="A30" s="5">
        <v>45139</v>
      </c>
      <c r="B30" s="6">
        <v>29.01</v>
      </c>
      <c r="C30" s="6">
        <v>29.13</v>
      </c>
      <c r="D30" s="6">
        <v>24.69</v>
      </c>
      <c r="E30" s="6">
        <v>26.55</v>
      </c>
      <c r="F30" s="6">
        <v>24.3</v>
      </c>
      <c r="G30" s="7">
        <v>102625700</v>
      </c>
      <c r="K30" s="9">
        <v>45108</v>
      </c>
      <c r="L30">
        <f t="shared" si="2"/>
        <v>0.12410299704516664</v>
      </c>
      <c r="M30">
        <f t="shared" si="0"/>
        <v>0.2947680690399137</v>
      </c>
      <c r="N30">
        <f t="shared" si="1"/>
        <v>9.4564408041697662E-2</v>
      </c>
    </row>
    <row r="31" spans="1:14" ht="18" x14ac:dyDescent="0.2">
      <c r="A31" s="5">
        <v>45108</v>
      </c>
      <c r="B31" s="6">
        <v>26.39</v>
      </c>
      <c r="C31" s="6">
        <v>29.45</v>
      </c>
      <c r="D31" s="6">
        <v>25.57</v>
      </c>
      <c r="E31" s="6">
        <v>29.1</v>
      </c>
      <c r="F31" s="6">
        <v>26.63</v>
      </c>
      <c r="G31" s="7">
        <v>104739400</v>
      </c>
      <c r="K31" s="9">
        <v>45078</v>
      </c>
      <c r="L31">
        <f t="shared" si="2"/>
        <v>7.9762989972652687E-2</v>
      </c>
      <c r="M31">
        <f t="shared" si="0"/>
        <v>0.17341772151898724</v>
      </c>
      <c r="N31">
        <f t="shared" si="1"/>
        <v>1.5117157974300778E-2</v>
      </c>
    </row>
    <row r="32" spans="1:14" ht="18" x14ac:dyDescent="0.2">
      <c r="A32" s="5">
        <v>45078</v>
      </c>
      <c r="B32" s="6">
        <v>24.46</v>
      </c>
      <c r="C32" s="6">
        <v>27.27</v>
      </c>
      <c r="D32" s="6">
        <v>24.02</v>
      </c>
      <c r="E32" s="6">
        <v>26.21</v>
      </c>
      <c r="F32" s="6">
        <v>23.69</v>
      </c>
      <c r="G32" s="7">
        <v>123316100</v>
      </c>
      <c r="K32" s="9">
        <v>45047</v>
      </c>
      <c r="L32">
        <f t="shared" si="2"/>
        <v>-7.3479729729729659E-2</v>
      </c>
      <c r="M32">
        <f t="shared" si="0"/>
        <v>-0.16754478398314013</v>
      </c>
      <c r="N32">
        <f t="shared" si="1"/>
        <v>-6.4687168610816484E-2</v>
      </c>
    </row>
    <row r="33" spans="1:14" ht="18" x14ac:dyDescent="0.2">
      <c r="A33" s="5">
        <v>45047</v>
      </c>
      <c r="B33" s="6">
        <v>26.15</v>
      </c>
      <c r="C33" s="6">
        <v>26.47</v>
      </c>
      <c r="D33" s="6">
        <v>22.46</v>
      </c>
      <c r="E33" s="6">
        <v>24.27</v>
      </c>
      <c r="F33" s="6">
        <v>21.94</v>
      </c>
      <c r="G33" s="7">
        <v>181730700</v>
      </c>
      <c r="K33" s="9">
        <v>45017</v>
      </c>
      <c r="L33">
        <f t="shared" si="2"/>
        <v>-4.2052144659378227E-3</v>
      </c>
      <c r="M33">
        <f t="shared" si="0"/>
        <v>1.5788065293015879E-2</v>
      </c>
      <c r="N33">
        <f t="shared" si="1"/>
        <v>-4.457953394123608E-2</v>
      </c>
    </row>
    <row r="34" spans="1:14" ht="18" x14ac:dyDescent="0.2">
      <c r="A34" s="5">
        <v>45017</v>
      </c>
      <c r="B34" s="6">
        <v>26.94</v>
      </c>
      <c r="C34" s="6">
        <v>28.18</v>
      </c>
      <c r="D34" s="6">
        <v>24.98</v>
      </c>
      <c r="E34" s="6">
        <v>26.2</v>
      </c>
      <c r="F34" s="6">
        <v>23.68</v>
      </c>
      <c r="G34" s="7">
        <v>136959200</v>
      </c>
      <c r="K34" s="9">
        <v>44986</v>
      </c>
      <c r="L34">
        <f t="shared" ref="L34:L60" si="3">(F35-F36)/F36</f>
        <v>-0.26627584078987954</v>
      </c>
      <c r="M34">
        <f t="shared" ref="M34:M60" si="4">(F101-F102)/F102</f>
        <v>-0.38067616837918472</v>
      </c>
      <c r="N34">
        <f t="shared" ref="N34:N60" si="5">(F166-F167)/F167</f>
        <v>-0.26598909271194854</v>
      </c>
    </row>
    <row r="35" spans="1:14" ht="18" x14ac:dyDescent="0.2">
      <c r="A35" s="5">
        <v>44986</v>
      </c>
      <c r="B35" s="6">
        <v>36.200000000000003</v>
      </c>
      <c r="C35" s="6">
        <v>36.67</v>
      </c>
      <c r="D35" s="6">
        <v>22.11</v>
      </c>
      <c r="E35" s="6">
        <v>26.64</v>
      </c>
      <c r="F35" s="6">
        <v>23.78</v>
      </c>
      <c r="G35" s="7">
        <v>356280200</v>
      </c>
      <c r="K35" s="9">
        <v>44958</v>
      </c>
      <c r="L35">
        <f t="shared" si="3"/>
        <v>3.086419753085806E-4</v>
      </c>
      <c r="M35">
        <f t="shared" si="4"/>
        <v>-4.37400950871632E-2</v>
      </c>
      <c r="N35">
        <f t="shared" si="5"/>
        <v>-4.948162111215821E-2</v>
      </c>
    </row>
    <row r="36" spans="1:14" ht="18" x14ac:dyDescent="0.2">
      <c r="A36" s="5">
        <v>44958</v>
      </c>
      <c r="B36" s="6">
        <v>35.799999999999997</v>
      </c>
      <c r="C36" s="6">
        <v>38.06</v>
      </c>
      <c r="D36" s="6">
        <v>35.51</v>
      </c>
      <c r="E36" s="6">
        <v>36.299999999999997</v>
      </c>
      <c r="F36" s="6">
        <v>32.409999999999997</v>
      </c>
      <c r="G36" s="7">
        <v>80812700</v>
      </c>
      <c r="K36" s="9">
        <v>44927</v>
      </c>
      <c r="L36">
        <f t="shared" si="3"/>
        <v>0.11724137931034478</v>
      </c>
      <c r="M36">
        <f t="shared" si="4"/>
        <v>0.10798946444249338</v>
      </c>
      <c r="N36">
        <f t="shared" si="5"/>
        <v>0.14764737696051924</v>
      </c>
    </row>
    <row r="37" spans="1:14" ht="18" x14ac:dyDescent="0.2">
      <c r="A37" s="5">
        <v>44927</v>
      </c>
      <c r="B37" s="6">
        <v>33.19</v>
      </c>
      <c r="C37" s="6">
        <v>36.32</v>
      </c>
      <c r="D37" s="6">
        <v>31.84</v>
      </c>
      <c r="E37" s="6">
        <v>36.29</v>
      </c>
      <c r="F37" s="6">
        <v>32.4</v>
      </c>
      <c r="G37" s="7">
        <v>116715500</v>
      </c>
      <c r="K37" s="9">
        <v>44896</v>
      </c>
      <c r="L37">
        <f t="shared" si="3"/>
        <v>-9.7416744475568071E-2</v>
      </c>
      <c r="M37">
        <f t="shared" si="4"/>
        <v>-6.8073964981181415E-2</v>
      </c>
      <c r="N37">
        <f t="shared" si="5"/>
        <v>-6.9685534591195045E-2</v>
      </c>
    </row>
    <row r="38" spans="1:14" ht="18" x14ac:dyDescent="0.2">
      <c r="A38" s="5">
        <v>44896</v>
      </c>
      <c r="B38" s="6">
        <v>36.36</v>
      </c>
      <c r="C38" s="6">
        <v>36.520000000000003</v>
      </c>
      <c r="D38" s="6">
        <v>31.27</v>
      </c>
      <c r="E38" s="6">
        <v>32.81</v>
      </c>
      <c r="F38" s="6">
        <v>29</v>
      </c>
      <c r="G38" s="7">
        <v>105090900</v>
      </c>
      <c r="K38" s="9">
        <v>44866</v>
      </c>
      <c r="L38">
        <f t="shared" si="3"/>
        <v>1.8706404565631052E-2</v>
      </c>
      <c r="M38">
        <f t="shared" si="4"/>
        <v>1.7482517482517435E-2</v>
      </c>
      <c r="N38">
        <f t="shared" si="5"/>
        <v>4.4952681388012644E-2</v>
      </c>
    </row>
    <row r="39" spans="1:14" ht="18" x14ac:dyDescent="0.2">
      <c r="A39" s="5">
        <v>44866</v>
      </c>
      <c r="B39" s="6">
        <v>35.93</v>
      </c>
      <c r="C39" s="6">
        <v>37.200000000000003</v>
      </c>
      <c r="D39" s="6">
        <v>33.450000000000003</v>
      </c>
      <c r="E39" s="6">
        <v>36.36</v>
      </c>
      <c r="F39" s="6">
        <v>32.130000000000003</v>
      </c>
      <c r="G39" s="7">
        <v>85760400</v>
      </c>
      <c r="K39" s="9">
        <v>44835</v>
      </c>
      <c r="L39">
        <f t="shared" si="3"/>
        <v>0.12804005722460651</v>
      </c>
      <c r="M39">
        <f t="shared" si="4"/>
        <v>-1.6647244880968888E-4</v>
      </c>
      <c r="N39">
        <f t="shared" si="5"/>
        <v>2.866414277988108E-2</v>
      </c>
    </row>
    <row r="40" spans="1:14" ht="18" x14ac:dyDescent="0.2">
      <c r="A40" s="5">
        <v>44835</v>
      </c>
      <c r="B40" s="6">
        <v>32.5</v>
      </c>
      <c r="C40" s="6">
        <v>36.17</v>
      </c>
      <c r="D40" s="6">
        <v>30.92</v>
      </c>
      <c r="E40" s="6">
        <v>35.69</v>
      </c>
      <c r="F40" s="6">
        <v>31.54</v>
      </c>
      <c r="G40" s="7">
        <v>109278500</v>
      </c>
      <c r="K40" s="9">
        <v>44805</v>
      </c>
      <c r="L40">
        <f t="shared" si="3"/>
        <v>-6.3943756277201211E-2</v>
      </c>
      <c r="M40">
        <f t="shared" si="4"/>
        <v>-0.11453419811320759</v>
      </c>
      <c r="N40">
        <f t="shared" si="5"/>
        <v>-6.0706121412242846E-2</v>
      </c>
    </row>
    <row r="41" spans="1:14" ht="18" x14ac:dyDescent="0.2">
      <c r="A41" s="5">
        <v>44805</v>
      </c>
      <c r="B41" s="6">
        <v>34.1</v>
      </c>
      <c r="C41" s="6">
        <v>36.6</v>
      </c>
      <c r="D41" s="6">
        <v>31.18</v>
      </c>
      <c r="E41" s="6">
        <v>31.96</v>
      </c>
      <c r="F41" s="6">
        <v>27.96</v>
      </c>
      <c r="G41" s="7">
        <v>93587000</v>
      </c>
      <c r="K41" s="9">
        <v>44774</v>
      </c>
      <c r="L41">
        <f t="shared" si="3"/>
        <v>6.7001675041874619E-4</v>
      </c>
      <c r="M41">
        <f t="shared" si="4"/>
        <v>3.257229832572299E-2</v>
      </c>
      <c r="N41">
        <f t="shared" si="5"/>
        <v>-7.1900047147571991E-2</v>
      </c>
    </row>
    <row r="42" spans="1:14" ht="18" x14ac:dyDescent="0.2">
      <c r="A42" s="5">
        <v>44774</v>
      </c>
      <c r="B42" s="6">
        <v>33.86</v>
      </c>
      <c r="C42" s="6">
        <v>37.86</v>
      </c>
      <c r="D42" s="6">
        <v>33.409999999999997</v>
      </c>
      <c r="E42" s="6">
        <v>34.15</v>
      </c>
      <c r="F42" s="6">
        <v>29.87</v>
      </c>
      <c r="G42" s="7">
        <v>76916300</v>
      </c>
      <c r="K42" s="9">
        <v>44743</v>
      </c>
      <c r="L42">
        <f t="shared" si="3"/>
        <v>2.436513383665068E-2</v>
      </c>
      <c r="M42">
        <f t="shared" si="4"/>
        <v>6.9510011395083893E-2</v>
      </c>
      <c r="N42">
        <f t="shared" si="5"/>
        <v>6.3957863054928635E-2</v>
      </c>
    </row>
    <row r="43" spans="1:14" ht="18" x14ac:dyDescent="0.2">
      <c r="A43" s="5">
        <v>44743</v>
      </c>
      <c r="B43" s="6">
        <v>33.5</v>
      </c>
      <c r="C43" s="6">
        <v>34.97</v>
      </c>
      <c r="D43" s="6">
        <v>31.8</v>
      </c>
      <c r="E43" s="6">
        <v>34.119999999999997</v>
      </c>
      <c r="F43" s="6">
        <v>29.85</v>
      </c>
      <c r="G43" s="7">
        <v>101581000</v>
      </c>
      <c r="K43" s="9">
        <v>44713</v>
      </c>
      <c r="L43">
        <f t="shared" si="3"/>
        <v>-0.14795321637426906</v>
      </c>
      <c r="M43">
        <f t="shared" si="4"/>
        <v>-0.1181452770600057</v>
      </c>
      <c r="N43">
        <f t="shared" si="5"/>
        <v>-3.649105848235875E-2</v>
      </c>
    </row>
    <row r="44" spans="1:14" ht="18" x14ac:dyDescent="0.2">
      <c r="A44" s="5">
        <v>44713</v>
      </c>
      <c r="B44" s="6">
        <v>39.630000000000003</v>
      </c>
      <c r="C44" s="6">
        <v>40.07</v>
      </c>
      <c r="D44" s="6">
        <v>32.549999999999997</v>
      </c>
      <c r="E44" s="6">
        <v>33.6</v>
      </c>
      <c r="F44" s="6">
        <v>29.14</v>
      </c>
      <c r="G44" s="7">
        <v>98111700</v>
      </c>
      <c r="K44" s="9">
        <v>44682</v>
      </c>
      <c r="L44">
        <f t="shared" si="3"/>
        <v>5.0691244239631512E-2</v>
      </c>
      <c r="M44">
        <f t="shared" si="4"/>
        <v>1.6044340723453825E-2</v>
      </c>
      <c r="N44">
        <f t="shared" si="5"/>
        <v>2.8585632612478394E-2</v>
      </c>
    </row>
    <row r="45" spans="1:14" ht="18" x14ac:dyDescent="0.2">
      <c r="A45" s="5">
        <v>44682</v>
      </c>
      <c r="B45" s="6">
        <v>37.82</v>
      </c>
      <c r="C45" s="6">
        <v>39.68</v>
      </c>
      <c r="D45" s="6">
        <v>34.75</v>
      </c>
      <c r="E45" s="6">
        <v>39.43</v>
      </c>
      <c r="F45" s="6">
        <v>34.200000000000003</v>
      </c>
      <c r="G45" s="7">
        <v>118522300</v>
      </c>
      <c r="K45" s="9">
        <v>44652</v>
      </c>
      <c r="L45">
        <f t="shared" si="3"/>
        <v>-0.12240496090590472</v>
      </c>
      <c r="M45">
        <f t="shared" si="4"/>
        <v>-8.7326943556975525E-2</v>
      </c>
      <c r="N45">
        <f t="shared" si="5"/>
        <v>-0.14712741149035413</v>
      </c>
    </row>
    <row r="46" spans="1:14" ht="18" x14ac:dyDescent="0.2">
      <c r="A46" s="5">
        <v>44652</v>
      </c>
      <c r="B46" s="6">
        <v>43.69</v>
      </c>
      <c r="C46" s="6">
        <v>43.82</v>
      </c>
      <c r="D46" s="6">
        <v>37.44</v>
      </c>
      <c r="E46" s="6">
        <v>37.53</v>
      </c>
      <c r="F46" s="6">
        <v>32.549999999999997</v>
      </c>
      <c r="G46" s="7">
        <v>132543700</v>
      </c>
      <c r="K46" s="9">
        <v>44621</v>
      </c>
      <c r="L46">
        <f t="shared" si="3"/>
        <v>-0.10019408054342542</v>
      </c>
      <c r="M46">
        <f t="shared" si="4"/>
        <v>-5.2950075642965062E-2</v>
      </c>
      <c r="N46">
        <f t="shared" si="5"/>
        <v>-8.2117143413115365E-2</v>
      </c>
    </row>
    <row r="47" spans="1:14" ht="18" x14ac:dyDescent="0.2">
      <c r="A47" s="5">
        <v>44621</v>
      </c>
      <c r="B47" s="6">
        <v>47.3</v>
      </c>
      <c r="C47" s="6">
        <v>48.03</v>
      </c>
      <c r="D47" s="6">
        <v>41.55</v>
      </c>
      <c r="E47" s="6">
        <v>43.04</v>
      </c>
      <c r="F47" s="6">
        <v>37.090000000000003</v>
      </c>
      <c r="G47" s="7">
        <v>161085900</v>
      </c>
      <c r="K47" s="9">
        <v>44593</v>
      </c>
      <c r="L47">
        <f t="shared" si="3"/>
        <v>7.176287051482054E-2</v>
      </c>
      <c r="M47">
        <f t="shared" si="4"/>
        <v>2.9194239003503313E-2</v>
      </c>
      <c r="N47">
        <f t="shared" si="5"/>
        <v>-9.4448727833462212E-3</v>
      </c>
    </row>
    <row r="48" spans="1:14" ht="18" x14ac:dyDescent="0.2">
      <c r="A48" s="5">
        <v>44593</v>
      </c>
      <c r="B48" s="6">
        <v>44.55</v>
      </c>
      <c r="C48" s="6">
        <v>50.13</v>
      </c>
      <c r="D48" s="6">
        <v>44.08</v>
      </c>
      <c r="E48" s="6">
        <v>47.84</v>
      </c>
      <c r="F48" s="6">
        <v>41.22</v>
      </c>
      <c r="G48" s="7">
        <v>118806000</v>
      </c>
      <c r="K48" s="9">
        <v>44562</v>
      </c>
      <c r="L48">
        <f t="shared" si="3"/>
        <v>3.1929165548698624E-2</v>
      </c>
      <c r="M48">
        <f t="shared" si="4"/>
        <v>7.5345332775219639E-2</v>
      </c>
      <c r="N48">
        <f t="shared" si="5"/>
        <v>7.2787427626137366E-2</v>
      </c>
    </row>
    <row r="49" spans="1:22" ht="18" x14ac:dyDescent="0.2">
      <c r="A49" s="5">
        <v>44562</v>
      </c>
      <c r="B49" s="6">
        <v>43.99</v>
      </c>
      <c r="C49" s="6">
        <v>50.64</v>
      </c>
      <c r="D49" s="6">
        <v>43.23</v>
      </c>
      <c r="E49" s="6">
        <v>44.63</v>
      </c>
      <c r="F49" s="6">
        <v>38.46</v>
      </c>
      <c r="G49" s="7">
        <v>126037900</v>
      </c>
      <c r="K49" s="9">
        <v>44531</v>
      </c>
      <c r="L49">
        <f t="shared" si="3"/>
        <v>3.3268644302744739E-2</v>
      </c>
      <c r="M49">
        <f t="shared" si="4"/>
        <v>5.4125606706868765E-2</v>
      </c>
      <c r="N49">
        <f t="shared" si="5"/>
        <v>-5.3475935828876603E-3</v>
      </c>
    </row>
    <row r="50" spans="1:22" ht="18" x14ac:dyDescent="0.2">
      <c r="A50" s="5">
        <v>44531</v>
      </c>
      <c r="B50" s="6">
        <v>43.25</v>
      </c>
      <c r="C50" s="6">
        <v>44.89</v>
      </c>
      <c r="D50" s="6">
        <v>40.369999999999997</v>
      </c>
      <c r="E50" s="6">
        <v>43.55</v>
      </c>
      <c r="F50" s="6">
        <v>37.270000000000003</v>
      </c>
      <c r="G50" s="7">
        <v>101778400</v>
      </c>
      <c r="K50" s="9">
        <v>44501</v>
      </c>
      <c r="L50">
        <f t="shared" si="3"/>
        <v>-3.1677852348993278E-2</v>
      </c>
      <c r="M50">
        <f t="shared" si="4"/>
        <v>-3.0099857346647642E-2</v>
      </c>
      <c r="N50">
        <f t="shared" si="5"/>
        <v>-6.5539112050740034E-2</v>
      </c>
    </row>
    <row r="51" spans="1:22" ht="18" x14ac:dyDescent="0.2">
      <c r="A51" s="5">
        <v>44501</v>
      </c>
      <c r="B51" s="6">
        <v>43.93</v>
      </c>
      <c r="C51" s="6">
        <v>45.27</v>
      </c>
      <c r="D51" s="6">
        <v>41.5</v>
      </c>
      <c r="E51" s="6">
        <v>42.15</v>
      </c>
      <c r="F51" s="6">
        <v>36.07</v>
      </c>
      <c r="G51" s="7">
        <v>85542300</v>
      </c>
      <c r="K51" s="9">
        <v>44470</v>
      </c>
      <c r="L51">
        <f t="shared" si="3"/>
        <v>3.2714166897698911E-2</v>
      </c>
      <c r="M51">
        <f t="shared" si="4"/>
        <v>6.6808704915537989E-2</v>
      </c>
      <c r="N51">
        <f t="shared" si="5"/>
        <v>8.2154742096505889E-2</v>
      </c>
    </row>
    <row r="52" spans="1:22" ht="18" x14ac:dyDescent="0.2">
      <c r="A52" s="5">
        <v>44470</v>
      </c>
      <c r="B52" s="6">
        <v>42.62</v>
      </c>
      <c r="C52" s="6">
        <v>45.92</v>
      </c>
      <c r="D52" s="6">
        <v>41.92</v>
      </c>
      <c r="E52" s="6">
        <v>43.53</v>
      </c>
      <c r="F52" s="6">
        <v>37.25</v>
      </c>
      <c r="G52" s="7">
        <v>79505500</v>
      </c>
      <c r="K52" s="9">
        <v>44440</v>
      </c>
      <c r="L52">
        <f t="shared" si="3"/>
        <v>9.2037541628822259E-2</v>
      </c>
      <c r="M52">
        <f t="shared" si="4"/>
        <v>8.9176197579976718E-2</v>
      </c>
      <c r="N52">
        <f t="shared" si="5"/>
        <v>3.6430265143349808E-2</v>
      </c>
    </row>
    <row r="53" spans="1:22" ht="18" x14ac:dyDescent="0.2">
      <c r="A53" s="5">
        <v>44440</v>
      </c>
      <c r="B53" s="6">
        <v>39.01</v>
      </c>
      <c r="C53" s="6">
        <v>44.18</v>
      </c>
      <c r="D53" s="6">
        <v>37.86</v>
      </c>
      <c r="E53" s="6">
        <v>42.44</v>
      </c>
      <c r="F53" s="6">
        <v>36.07</v>
      </c>
      <c r="G53" s="7">
        <v>122273500</v>
      </c>
      <c r="K53" s="9">
        <v>44409</v>
      </c>
      <c r="L53">
        <f t="shared" si="3"/>
        <v>7.1011673151751012E-2</v>
      </c>
      <c r="M53">
        <f t="shared" si="4"/>
        <v>7.6552462526766576E-2</v>
      </c>
      <c r="N53">
        <f t="shared" si="5"/>
        <v>4.8124717577948548E-2</v>
      </c>
    </row>
    <row r="54" spans="1:22" ht="18" x14ac:dyDescent="0.2">
      <c r="A54" s="5">
        <v>44409</v>
      </c>
      <c r="B54" s="6">
        <v>36.630000000000003</v>
      </c>
      <c r="C54" s="6">
        <v>39.659999999999997</v>
      </c>
      <c r="D54" s="6">
        <v>35.49</v>
      </c>
      <c r="E54" s="6">
        <v>38.86</v>
      </c>
      <c r="F54" s="6">
        <v>33.03</v>
      </c>
      <c r="G54" s="7">
        <v>98377100</v>
      </c>
      <c r="K54" s="9">
        <v>44378</v>
      </c>
      <c r="L54">
        <f t="shared" si="3"/>
        <v>-4.4017358958462441E-2</v>
      </c>
      <c r="M54">
        <f t="shared" si="4"/>
        <v>-2.8601144045761806E-2</v>
      </c>
      <c r="N54">
        <f t="shared" si="5"/>
        <v>-1.9277642366496886E-2</v>
      </c>
    </row>
    <row r="55" spans="1:22" ht="18" x14ac:dyDescent="0.2">
      <c r="A55" s="5">
        <v>44378</v>
      </c>
      <c r="B55" s="6">
        <v>38.5</v>
      </c>
      <c r="C55" s="6">
        <v>38.869999999999997</v>
      </c>
      <c r="D55" s="6">
        <v>34.35</v>
      </c>
      <c r="E55" s="6">
        <v>36.29</v>
      </c>
      <c r="F55" s="6">
        <v>30.84</v>
      </c>
      <c r="G55" s="7">
        <v>101521700</v>
      </c>
      <c r="K55" s="9">
        <v>44348</v>
      </c>
      <c r="L55">
        <f t="shared" si="3"/>
        <v>-9.2800899887514179E-2</v>
      </c>
      <c r="M55">
        <f t="shared" si="4"/>
        <v>-9.1209829867674855E-2</v>
      </c>
      <c r="N55">
        <f t="shared" si="5"/>
        <v>-9.4684052156469384E-2</v>
      </c>
    </row>
    <row r="56" spans="1:22" ht="18" x14ac:dyDescent="0.2">
      <c r="A56" s="5">
        <v>44348</v>
      </c>
      <c r="B56" s="6">
        <v>42.43</v>
      </c>
      <c r="C56" s="6">
        <v>42.77</v>
      </c>
      <c r="D56" s="6">
        <v>36.700000000000003</v>
      </c>
      <c r="E56" s="6">
        <v>38.229999999999997</v>
      </c>
      <c r="F56" s="6">
        <v>32.26</v>
      </c>
      <c r="G56" s="7">
        <v>107231300</v>
      </c>
      <c r="K56" s="9">
        <v>44317</v>
      </c>
      <c r="L56">
        <f t="shared" si="3"/>
        <v>3.9462145571470368E-2</v>
      </c>
      <c r="M56">
        <f t="shared" si="4"/>
        <v>4.4422507403751164E-2</v>
      </c>
      <c r="N56">
        <f t="shared" si="5"/>
        <v>4.1579607187630631E-2</v>
      </c>
    </row>
    <row r="57" spans="1:22" ht="18" x14ac:dyDescent="0.2">
      <c r="A57" s="5">
        <v>44317</v>
      </c>
      <c r="B57" s="6">
        <v>40.99</v>
      </c>
      <c r="C57" s="6">
        <v>43.06</v>
      </c>
      <c r="D57" s="6">
        <v>40.01</v>
      </c>
      <c r="E57" s="6">
        <v>42.14</v>
      </c>
      <c r="F57" s="6">
        <v>35.56</v>
      </c>
      <c r="G57" s="7">
        <v>95703200</v>
      </c>
      <c r="K57" s="9">
        <v>44287</v>
      </c>
      <c r="L57">
        <f t="shared" si="3"/>
        <v>9.0184831102613189E-2</v>
      </c>
      <c r="M57">
        <f t="shared" si="4"/>
        <v>5.7779324747650546E-2</v>
      </c>
      <c r="N57">
        <f t="shared" si="5"/>
        <v>1.6999575010624674E-2</v>
      </c>
    </row>
    <row r="58" spans="1:22" ht="18" x14ac:dyDescent="0.2">
      <c r="A58" s="5">
        <v>44287</v>
      </c>
      <c r="B58" s="6">
        <v>37.4</v>
      </c>
      <c r="C58" s="6">
        <v>40.96</v>
      </c>
      <c r="D58" s="6">
        <v>35.880000000000003</v>
      </c>
      <c r="E58" s="6">
        <v>40.54</v>
      </c>
      <c r="F58" s="6">
        <v>34.21</v>
      </c>
      <c r="G58" s="7">
        <v>107603500</v>
      </c>
      <c r="K58" s="9">
        <v>44256</v>
      </c>
      <c r="L58">
        <f t="shared" si="3"/>
        <v>7.9834824501032367E-2</v>
      </c>
      <c r="M58">
        <f t="shared" si="4"/>
        <v>5.353868720205357E-2</v>
      </c>
      <c r="N58">
        <f t="shared" si="5"/>
        <v>3.2470381746380082E-2</v>
      </c>
    </row>
    <row r="59" spans="1:22" ht="18" x14ac:dyDescent="0.2">
      <c r="A59" s="5">
        <v>44256</v>
      </c>
      <c r="B59" s="6">
        <v>35.36</v>
      </c>
      <c r="C59" s="6">
        <v>40.46</v>
      </c>
      <c r="D59" s="6">
        <v>34.53</v>
      </c>
      <c r="E59" s="6">
        <v>37.450000000000003</v>
      </c>
      <c r="F59" s="6">
        <v>31.38</v>
      </c>
      <c r="G59" s="7">
        <v>191621500</v>
      </c>
      <c r="K59" s="9">
        <v>44228</v>
      </c>
      <c r="L59">
        <f t="shared" si="3"/>
        <v>0.19884488448844886</v>
      </c>
      <c r="M59">
        <f t="shared" si="4"/>
        <v>0.19056974459724943</v>
      </c>
      <c r="N59">
        <f t="shared" si="5"/>
        <v>0.18728835634279753</v>
      </c>
    </row>
    <row r="60" spans="1:22" ht="18" x14ac:dyDescent="0.2">
      <c r="A60" s="5">
        <v>44228</v>
      </c>
      <c r="B60" s="6">
        <v>29.05</v>
      </c>
      <c r="C60" s="6">
        <v>36.85</v>
      </c>
      <c r="D60" s="6">
        <v>28.94</v>
      </c>
      <c r="E60" s="6">
        <v>34.69</v>
      </c>
      <c r="F60" s="6">
        <v>29.06</v>
      </c>
      <c r="G60" s="7">
        <v>100091100</v>
      </c>
      <c r="K60" s="9">
        <v>44197</v>
      </c>
      <c r="L60">
        <f t="shared" si="3"/>
        <v>5.9903804110187905E-2</v>
      </c>
      <c r="M60">
        <f t="shared" si="4"/>
        <v>3.736413043478274E-2</v>
      </c>
      <c r="N60">
        <f t="shared" si="5"/>
        <v>1.0430247718383088E-3</v>
      </c>
    </row>
    <row r="61" spans="1:22" ht="18" x14ac:dyDescent="0.2">
      <c r="A61" s="5">
        <v>44197</v>
      </c>
      <c r="B61" s="6">
        <v>27.76</v>
      </c>
      <c r="C61" s="6">
        <v>32.82</v>
      </c>
      <c r="D61" s="6">
        <v>26.83</v>
      </c>
      <c r="E61" s="6">
        <v>28.93</v>
      </c>
      <c r="F61" s="6">
        <v>24.24</v>
      </c>
      <c r="G61" s="7">
        <v>100981800</v>
      </c>
    </row>
    <row r="62" spans="1:22" ht="18" x14ac:dyDescent="0.2">
      <c r="A62" s="5">
        <v>44166</v>
      </c>
      <c r="B62" s="6">
        <v>25.9</v>
      </c>
      <c r="C62" s="6">
        <v>28.11</v>
      </c>
      <c r="D62" s="6">
        <v>25.79</v>
      </c>
      <c r="E62" s="6">
        <v>27.57</v>
      </c>
      <c r="F62" s="6">
        <v>22.87</v>
      </c>
      <c r="G62" s="7">
        <v>100328800</v>
      </c>
      <c r="S62" t="s">
        <v>6</v>
      </c>
    </row>
    <row r="63" spans="1:22" x14ac:dyDescent="0.2">
      <c r="K63" t="s">
        <v>0</v>
      </c>
      <c r="L63">
        <f>AVERAGE(L2:L60)</f>
        <v>1.4798035899560981E-2</v>
      </c>
      <c r="M63">
        <f>AVERAGE(M2:M60)</f>
        <v>1.5968330313876296E-2</v>
      </c>
      <c r="N63">
        <f>AVERAGE(N2:N60)</f>
        <v>5.9747800556292432E-3</v>
      </c>
      <c r="T63">
        <f>L72/L65^2</f>
        <v>0.9999998595011993</v>
      </c>
      <c r="U63">
        <f>M72/(L65*M65)</f>
        <v>0.84281884095531256</v>
      </c>
      <c r="V63">
        <f>N72/(L65*N65)</f>
        <v>0.89144164297201078</v>
      </c>
    </row>
    <row r="64" spans="1:22" x14ac:dyDescent="0.2">
      <c r="T64">
        <f>L73/(M65*L65)</f>
        <v>0.84281884095531256</v>
      </c>
      <c r="U64">
        <f>M73/M65^2</f>
        <v>0.99999967811978441</v>
      </c>
      <c r="V64">
        <f>N73/(M65*N65)</f>
        <v>0.8290952752015931</v>
      </c>
    </row>
    <row r="65" spans="1:22" x14ac:dyDescent="0.2">
      <c r="K65" t="s">
        <v>1</v>
      </c>
      <c r="L65">
        <f>_xlfn.STDEV.S(L2:L60)</f>
        <v>9.0720456107392849E-2</v>
      </c>
      <c r="M65">
        <f>_xlfn.STDEV.S(M2:M60)</f>
        <v>0.10854539968338645</v>
      </c>
      <c r="N65">
        <f>_xlfn.STDEV.S(N2:N60)</f>
        <v>8.1966695758453986E-2</v>
      </c>
      <c r="T65">
        <f>L74/(L65*N65)</f>
        <v>0.89144164297201078</v>
      </c>
      <c r="U65">
        <f>M74/(M65*N65)</f>
        <v>0.8290952752015931</v>
      </c>
      <c r="V65">
        <f>N74/(N65^2)</f>
        <v>1.0000001170553623</v>
      </c>
    </row>
    <row r="67" spans="1:22" x14ac:dyDescent="0.2">
      <c r="A67" s="4" t="s">
        <v>7</v>
      </c>
      <c r="B67" s="4" t="s">
        <v>8</v>
      </c>
      <c r="C67" s="4" t="s">
        <v>9</v>
      </c>
      <c r="D67" s="4" t="s">
        <v>10</v>
      </c>
      <c r="E67" s="4" t="s">
        <v>11</v>
      </c>
      <c r="F67" s="4" t="s">
        <v>12</v>
      </c>
      <c r="G67" s="4" t="s">
        <v>13</v>
      </c>
      <c r="K67" t="s">
        <v>2</v>
      </c>
      <c r="L67">
        <f>_xlfn.COVARIANCE.S(L2:L60,L2:L60)</f>
        <v>8.2302011563333884E-3</v>
      </c>
      <c r="M67">
        <f>_xlfn.COVARIANCE.S(M2:M60,M2:M60)</f>
        <v>1.1782103792426116E-2</v>
      </c>
      <c r="N67">
        <f>_xlfn.COVARIANCE.S(N2:N60,N2:N60)</f>
        <v>6.7185392135589569E-3</v>
      </c>
      <c r="O67">
        <f>_xlfn.COVARIANCE.S(L2:L60,M2:M60)</f>
        <v>8.2994761498029618E-3</v>
      </c>
      <c r="P67">
        <f>_xlfn.COVARIANCE.S(L2:L60,N2:N60)</f>
        <v>6.628808469715539E-3</v>
      </c>
      <c r="Q67">
        <f>_xlfn.COVARIANCE.S(M2:M60,N2:N60)</f>
        <v>7.3765536867979944E-3</v>
      </c>
    </row>
    <row r="68" spans="1:22" ht="18" x14ac:dyDescent="0.2">
      <c r="A68" s="5"/>
      <c r="B68" s="6"/>
      <c r="C68" s="6"/>
      <c r="D68" s="6"/>
      <c r="E68" s="6"/>
      <c r="F68" s="6"/>
      <c r="G68" s="7"/>
      <c r="L68" s="3">
        <v>4.2361111111111113E-2</v>
      </c>
      <c r="M68" s="3">
        <v>8.4722222222222227E-2</v>
      </c>
      <c r="N68" s="3">
        <v>0.12708333333333333</v>
      </c>
      <c r="O68" s="3">
        <v>4.3055555555555555E-2</v>
      </c>
      <c r="P68" s="3">
        <v>4.3749999999999997E-2</v>
      </c>
      <c r="Q68" s="3">
        <v>8.5416666666666669E-2</v>
      </c>
    </row>
    <row r="69" spans="1:22" ht="18" x14ac:dyDescent="0.2">
      <c r="A69" s="5">
        <v>45962</v>
      </c>
      <c r="B69" s="6">
        <v>75.930000000000007</v>
      </c>
      <c r="C69" s="6">
        <v>79.03</v>
      </c>
      <c r="D69" s="6">
        <v>75.239999999999995</v>
      </c>
      <c r="E69" s="6">
        <v>78.89</v>
      </c>
      <c r="F69" s="6">
        <v>78.89</v>
      </c>
      <c r="G69" s="7">
        <v>6705100</v>
      </c>
    </row>
    <row r="70" spans="1:22" ht="18" x14ac:dyDescent="0.2">
      <c r="A70" s="5">
        <v>45931</v>
      </c>
      <c r="B70" s="6">
        <v>67.989999999999995</v>
      </c>
      <c r="C70" s="6">
        <v>83.22</v>
      </c>
      <c r="D70" s="6">
        <v>67.67</v>
      </c>
      <c r="E70" s="6">
        <v>76.5</v>
      </c>
      <c r="F70" s="6">
        <v>76.5</v>
      </c>
      <c r="G70" s="7">
        <v>86589400</v>
      </c>
    </row>
    <row r="71" spans="1:22" ht="18" x14ac:dyDescent="0.2">
      <c r="A71" s="5">
        <v>45901</v>
      </c>
      <c r="B71" s="6">
        <v>69.540000000000006</v>
      </c>
      <c r="C71" s="6">
        <v>71.27</v>
      </c>
      <c r="D71" s="6">
        <v>66.849999999999994</v>
      </c>
      <c r="E71" s="6">
        <v>68.52</v>
      </c>
      <c r="F71" s="6">
        <v>67.83</v>
      </c>
      <c r="G71" s="7">
        <v>32764600</v>
      </c>
      <c r="K71" t="s">
        <v>2</v>
      </c>
    </row>
    <row r="72" spans="1:22" ht="18" x14ac:dyDescent="0.2">
      <c r="A72" s="5">
        <v>45870</v>
      </c>
      <c r="B72" s="6">
        <v>66.53</v>
      </c>
      <c r="C72" s="6">
        <v>71.72</v>
      </c>
      <c r="D72" s="6">
        <v>64.81</v>
      </c>
      <c r="E72" s="6">
        <v>70.58</v>
      </c>
      <c r="F72" s="6">
        <v>69.87</v>
      </c>
      <c r="G72" s="7">
        <v>35660400</v>
      </c>
      <c r="L72">
        <v>8.2302E-3</v>
      </c>
      <c r="M72">
        <v>8.2994799999999997E-3</v>
      </c>
      <c r="N72">
        <v>6.6288099999999997E-3</v>
      </c>
    </row>
    <row r="73" spans="1:22" ht="18" x14ac:dyDescent="0.2">
      <c r="A73" s="5">
        <v>45839</v>
      </c>
      <c r="B73" s="6">
        <v>59.44</v>
      </c>
      <c r="C73" s="6">
        <v>70.150000000000006</v>
      </c>
      <c r="D73" s="6">
        <v>59.44</v>
      </c>
      <c r="E73" s="6">
        <v>67.569999999999993</v>
      </c>
      <c r="F73" s="6">
        <v>66.89</v>
      </c>
      <c r="G73" s="7">
        <v>62626400</v>
      </c>
      <c r="L73">
        <v>8.2994799999999997E-3</v>
      </c>
      <c r="M73">
        <v>1.17821E-2</v>
      </c>
      <c r="N73">
        <v>7.3765499999999999E-3</v>
      </c>
    </row>
    <row r="74" spans="1:22" ht="18" x14ac:dyDescent="0.2">
      <c r="A74" s="5">
        <v>45809</v>
      </c>
      <c r="B74" s="6">
        <v>56.91</v>
      </c>
      <c r="C74" s="6">
        <v>60.03</v>
      </c>
      <c r="D74" s="6">
        <v>54.72</v>
      </c>
      <c r="E74" s="6">
        <v>59.65</v>
      </c>
      <c r="F74" s="6">
        <v>58.32</v>
      </c>
      <c r="G74" s="7">
        <v>26212400</v>
      </c>
      <c r="L74">
        <v>6.6288099999999997E-3</v>
      </c>
      <c r="M74">
        <v>7.3765499999999999E-3</v>
      </c>
      <c r="N74">
        <v>6.7185400000000003E-3</v>
      </c>
    </row>
    <row r="75" spans="1:22" ht="18" x14ac:dyDescent="0.2">
      <c r="A75" s="5">
        <v>45778</v>
      </c>
      <c r="B75" s="6">
        <v>53.93</v>
      </c>
      <c r="C75" s="6">
        <v>59.36</v>
      </c>
      <c r="D75" s="6">
        <v>53.18</v>
      </c>
      <c r="E75" s="6">
        <v>57.09</v>
      </c>
      <c r="F75" s="6">
        <v>55.82</v>
      </c>
      <c r="G75" s="7">
        <v>28323600</v>
      </c>
    </row>
    <row r="76" spans="1:22" ht="18" x14ac:dyDescent="0.2">
      <c r="A76" s="5">
        <v>45748</v>
      </c>
      <c r="B76" s="6">
        <v>58.5</v>
      </c>
      <c r="C76" s="6">
        <v>59.35</v>
      </c>
      <c r="D76" s="6">
        <v>48.12</v>
      </c>
      <c r="E76" s="6">
        <v>53.75</v>
      </c>
      <c r="F76" s="6">
        <v>52.55</v>
      </c>
      <c r="G76" s="7">
        <v>48862400</v>
      </c>
      <c r="K76" t="s">
        <v>4</v>
      </c>
    </row>
    <row r="77" spans="1:22" ht="18" x14ac:dyDescent="0.2">
      <c r="A77" s="5">
        <v>45717</v>
      </c>
      <c r="B77" s="6">
        <v>64.5</v>
      </c>
      <c r="C77" s="6">
        <v>65.349999999999994</v>
      </c>
      <c r="D77" s="6">
        <v>55.41</v>
      </c>
      <c r="E77" s="6">
        <v>59.06</v>
      </c>
      <c r="F77" s="6">
        <v>57.02</v>
      </c>
      <c r="G77" s="7">
        <v>44966800</v>
      </c>
      <c r="L77" cm="1">
        <f t="array" ref="L77:N79">MINVERSE(L72:N74)</f>
        <v>710.91439135310645</v>
      </c>
      <c r="M77">
        <v>-197.16086146292886</v>
      </c>
      <c r="N77">
        <v>-484.94903266498636</v>
      </c>
      <c r="P77">
        <v>1</v>
      </c>
    </row>
    <row r="78" spans="1:22" ht="18" x14ac:dyDescent="0.2">
      <c r="A78" s="5">
        <v>45689</v>
      </c>
      <c r="B78" s="6">
        <v>65.33</v>
      </c>
      <c r="C78" s="6">
        <v>68.94</v>
      </c>
      <c r="D78" s="6">
        <v>62.94</v>
      </c>
      <c r="E78" s="6">
        <v>64.33</v>
      </c>
      <c r="F78" s="6">
        <v>62.11</v>
      </c>
      <c r="G78" s="7">
        <v>37262500</v>
      </c>
      <c r="L78">
        <v>-197.16086146292892</v>
      </c>
      <c r="M78">
        <v>326.19023664835856</v>
      </c>
      <c r="N78">
        <v>-163.60945980441761</v>
      </c>
      <c r="P78">
        <v>1</v>
      </c>
    </row>
    <row r="79" spans="1:22" ht="18" x14ac:dyDescent="0.2">
      <c r="A79" s="5">
        <v>45658</v>
      </c>
      <c r="B79" s="6">
        <v>62.24</v>
      </c>
      <c r="C79" s="6">
        <v>68.510000000000005</v>
      </c>
      <c r="D79" s="6">
        <v>59.74</v>
      </c>
      <c r="E79" s="6">
        <v>67.319999999999993</v>
      </c>
      <c r="F79" s="6">
        <v>65</v>
      </c>
      <c r="G79" s="7">
        <v>43137300</v>
      </c>
      <c r="L79">
        <v>-484.94903266498636</v>
      </c>
      <c r="M79">
        <v>-163.60945980441761</v>
      </c>
      <c r="N79">
        <v>806.94739600274238</v>
      </c>
      <c r="P79">
        <v>1</v>
      </c>
    </row>
    <row r="80" spans="1:22" ht="18" x14ac:dyDescent="0.2">
      <c r="A80" s="5">
        <v>45627</v>
      </c>
      <c r="B80" s="6">
        <v>72.400000000000006</v>
      </c>
      <c r="C80" s="6">
        <v>72.510000000000005</v>
      </c>
      <c r="D80" s="6">
        <v>59.11</v>
      </c>
      <c r="E80" s="6">
        <v>61.85</v>
      </c>
      <c r="F80" s="6">
        <v>59.08</v>
      </c>
      <c r="G80" s="7">
        <v>63127100</v>
      </c>
    </row>
    <row r="81" spans="1:15" ht="18" x14ac:dyDescent="0.2">
      <c r="A81" s="5">
        <v>45597</v>
      </c>
      <c r="B81" s="6">
        <v>64.069999999999993</v>
      </c>
      <c r="C81" s="6">
        <v>73.45</v>
      </c>
      <c r="D81" s="6">
        <v>62.03</v>
      </c>
      <c r="E81" s="6">
        <v>72.25</v>
      </c>
      <c r="F81" s="6">
        <v>69.010000000000005</v>
      </c>
      <c r="G81" s="7">
        <v>33476400</v>
      </c>
      <c r="N81" cm="1">
        <f t="array" ref="N81:N83">MMULT(MINVERSE(L72:N74),P77:P79)</f>
        <v>28.804497225191199</v>
      </c>
    </row>
    <row r="82" spans="1:15" ht="18" x14ac:dyDescent="0.2">
      <c r="A82" s="5">
        <v>45566</v>
      </c>
      <c r="B82" s="6">
        <v>59.41</v>
      </c>
      <c r="C82" s="6">
        <v>66.06</v>
      </c>
      <c r="D82" s="6">
        <v>57.24</v>
      </c>
      <c r="E82" s="6">
        <v>63.71</v>
      </c>
      <c r="F82" s="6">
        <v>60.86</v>
      </c>
      <c r="G82" s="7">
        <v>44542900</v>
      </c>
      <c r="N82">
        <v>-34.580084618987968</v>
      </c>
    </row>
    <row r="83" spans="1:15" ht="18" x14ac:dyDescent="0.2">
      <c r="A83" s="5">
        <v>45536</v>
      </c>
      <c r="B83" s="6">
        <v>56.71</v>
      </c>
      <c r="C83" s="6">
        <v>61.84</v>
      </c>
      <c r="D83" s="6">
        <v>54.43</v>
      </c>
      <c r="E83" s="6">
        <v>59.91</v>
      </c>
      <c r="F83" s="6">
        <v>56.51</v>
      </c>
      <c r="G83" s="7">
        <v>41768300</v>
      </c>
      <c r="N83">
        <v>158.38890353333841</v>
      </c>
    </row>
    <row r="84" spans="1:15" ht="18" x14ac:dyDescent="0.2">
      <c r="A84" s="5">
        <v>45505</v>
      </c>
      <c r="B84" s="6">
        <v>54.38</v>
      </c>
      <c r="C84" s="6">
        <v>58.19</v>
      </c>
      <c r="D84" s="6">
        <v>48.33</v>
      </c>
      <c r="E84" s="6">
        <v>57.11</v>
      </c>
      <c r="F84" s="6">
        <v>53.87</v>
      </c>
      <c r="G84" s="7">
        <v>37291900</v>
      </c>
      <c r="O84" t="s">
        <v>86</v>
      </c>
    </row>
    <row r="85" spans="1:15" ht="18" x14ac:dyDescent="0.2">
      <c r="A85" s="5">
        <v>45474</v>
      </c>
      <c r="B85" s="6">
        <v>51.09</v>
      </c>
      <c r="C85" s="6">
        <v>58.5</v>
      </c>
      <c r="D85" s="6">
        <v>48.71</v>
      </c>
      <c r="E85" s="6">
        <v>54.81</v>
      </c>
      <c r="F85" s="6">
        <v>51.7</v>
      </c>
      <c r="G85" s="7">
        <v>52552300</v>
      </c>
      <c r="O85">
        <f>N81/SUM(_xlfn.ANCHORARRAY(N81))</f>
        <v>0.18874170323940717</v>
      </c>
    </row>
    <row r="86" spans="1:15" ht="18" x14ac:dyDescent="0.2">
      <c r="A86" s="5">
        <v>45444</v>
      </c>
      <c r="B86" s="6">
        <v>51.47</v>
      </c>
      <c r="C86" s="6">
        <v>51.6</v>
      </c>
      <c r="D86" s="6">
        <v>45.32</v>
      </c>
      <c r="E86" s="6">
        <v>51.04</v>
      </c>
      <c r="F86" s="6">
        <v>47.43</v>
      </c>
      <c r="G86" s="7">
        <v>70805800</v>
      </c>
      <c r="O86">
        <f>N82/ SUM(_xlfn.ANCHORARRAY(N81))</f>
        <v>-0.22658628679144713</v>
      </c>
    </row>
    <row r="87" spans="1:15" ht="18" x14ac:dyDescent="0.2">
      <c r="A87" s="5">
        <v>45413</v>
      </c>
      <c r="B87" s="6">
        <v>50.36</v>
      </c>
      <c r="C87" s="6">
        <v>56.16</v>
      </c>
      <c r="D87" s="6">
        <v>48.57</v>
      </c>
      <c r="E87" s="6">
        <v>51.24</v>
      </c>
      <c r="F87" s="6">
        <v>47.62</v>
      </c>
      <c r="G87" s="7">
        <v>34488300</v>
      </c>
      <c r="O87">
        <f>N83/ SUM(_xlfn.ANCHORARRAY(N81))</f>
        <v>1.03784458355204</v>
      </c>
    </row>
    <row r="88" spans="1:15" ht="18" x14ac:dyDescent="0.2">
      <c r="A88" s="5">
        <v>45383</v>
      </c>
      <c r="B88" s="6">
        <v>55.25</v>
      </c>
      <c r="C88" s="6">
        <v>55.25</v>
      </c>
      <c r="D88" s="6">
        <v>49.27</v>
      </c>
      <c r="E88" s="6">
        <v>50.17</v>
      </c>
      <c r="F88" s="6">
        <v>46.63</v>
      </c>
      <c r="G88" s="7">
        <v>37329800</v>
      </c>
      <c r="O88">
        <f>SUM(O85:O87)</f>
        <v>1</v>
      </c>
    </row>
    <row r="89" spans="1:15" ht="18" x14ac:dyDescent="0.2">
      <c r="A89" s="5">
        <v>45352</v>
      </c>
      <c r="B89" s="6">
        <v>48.7</v>
      </c>
      <c r="C89" s="6">
        <v>55.14</v>
      </c>
      <c r="D89" s="6">
        <v>47.64</v>
      </c>
      <c r="E89" s="6">
        <v>54.99</v>
      </c>
      <c r="F89" s="6">
        <v>50.4</v>
      </c>
      <c r="G89" s="7">
        <v>51565400</v>
      </c>
    </row>
    <row r="90" spans="1:15" ht="18" x14ac:dyDescent="0.2">
      <c r="A90" s="5">
        <v>45323</v>
      </c>
      <c r="B90" s="6">
        <v>52.75</v>
      </c>
      <c r="C90" s="6">
        <v>53.39</v>
      </c>
      <c r="D90" s="6">
        <v>47.81</v>
      </c>
      <c r="E90" s="6">
        <v>49.38</v>
      </c>
      <c r="F90" s="6">
        <v>45.26</v>
      </c>
      <c r="G90" s="7">
        <v>40567800</v>
      </c>
      <c r="L90">
        <f>SUM(L77:L79)</f>
        <v>28.804497225191199</v>
      </c>
    </row>
    <row r="91" spans="1:15" ht="18" x14ac:dyDescent="0.2">
      <c r="A91" s="5">
        <v>45292</v>
      </c>
      <c r="B91" s="6">
        <v>55.46</v>
      </c>
      <c r="C91" s="6">
        <v>57.07</v>
      </c>
      <c r="D91" s="6">
        <v>51.49</v>
      </c>
      <c r="E91" s="6">
        <v>52.58</v>
      </c>
      <c r="F91" s="6">
        <v>48.19</v>
      </c>
      <c r="G91" s="7">
        <v>43036400</v>
      </c>
      <c r="L91">
        <f>SUM(M77:M79)</f>
        <v>-34.580084618987911</v>
      </c>
    </row>
    <row r="92" spans="1:15" ht="18" x14ac:dyDescent="0.2">
      <c r="A92" s="5">
        <v>45261</v>
      </c>
      <c r="B92" s="6">
        <v>44.83</v>
      </c>
      <c r="C92" s="6">
        <v>57.39</v>
      </c>
      <c r="D92" s="6">
        <v>44.63</v>
      </c>
      <c r="E92" s="6">
        <v>55.81</v>
      </c>
      <c r="F92" s="6">
        <v>50.47</v>
      </c>
      <c r="G92" s="7">
        <v>43775500</v>
      </c>
      <c r="L92">
        <f>SUM(N77:N79)</f>
        <v>158.38890353333841</v>
      </c>
    </row>
    <row r="93" spans="1:15" ht="18" x14ac:dyDescent="0.2">
      <c r="A93" s="5">
        <v>45231</v>
      </c>
      <c r="B93" s="6">
        <v>39.65</v>
      </c>
      <c r="C93" s="6">
        <v>45.87</v>
      </c>
      <c r="D93" s="6">
        <v>38.76</v>
      </c>
      <c r="E93" s="6">
        <v>45.22</v>
      </c>
      <c r="F93" s="6">
        <v>40.89</v>
      </c>
      <c r="G93" s="7">
        <v>33563600</v>
      </c>
      <c r="L93">
        <f>SUM(L90:L92)</f>
        <v>152.61331613954169</v>
      </c>
      <c r="N93" t="s">
        <v>86</v>
      </c>
    </row>
    <row r="94" spans="1:15" ht="18" x14ac:dyDescent="0.2">
      <c r="A94" s="5">
        <v>45200</v>
      </c>
      <c r="B94" s="6">
        <v>41</v>
      </c>
      <c r="C94" s="6">
        <v>43.36</v>
      </c>
      <c r="D94" s="6">
        <v>37.4</v>
      </c>
      <c r="E94" s="6">
        <v>39.4</v>
      </c>
      <c r="F94" s="6">
        <v>35.630000000000003</v>
      </c>
      <c r="G94" s="7">
        <v>50479700</v>
      </c>
      <c r="N94">
        <f>1/L93*L90</f>
        <v>0.18874170323940712</v>
      </c>
    </row>
    <row r="95" spans="1:15" ht="18" x14ac:dyDescent="0.2">
      <c r="A95" s="5">
        <v>45170</v>
      </c>
      <c r="B95" s="6">
        <v>48.84</v>
      </c>
      <c r="C95" s="6">
        <v>49.25</v>
      </c>
      <c r="D95" s="6">
        <v>39.340000000000003</v>
      </c>
      <c r="E95" s="6">
        <v>41.55</v>
      </c>
      <c r="F95" s="6">
        <v>36.97</v>
      </c>
      <c r="G95" s="7">
        <v>45158500</v>
      </c>
      <c r="N95">
        <f>1/L93*L91</f>
        <v>-0.22658628679144666</v>
      </c>
    </row>
    <row r="96" spans="1:15" ht="18" x14ac:dyDescent="0.2">
      <c r="A96" s="5">
        <v>45139</v>
      </c>
      <c r="B96" s="6">
        <v>53.58</v>
      </c>
      <c r="C96" s="6">
        <v>54.05</v>
      </c>
      <c r="D96" s="6">
        <v>44.6</v>
      </c>
      <c r="E96" s="6">
        <v>48.11</v>
      </c>
      <c r="F96" s="6">
        <v>42.81</v>
      </c>
      <c r="G96" s="7">
        <v>35546600</v>
      </c>
      <c r="N96">
        <f>1/L93*L92</f>
        <v>1.0378445835520396</v>
      </c>
    </row>
    <row r="97" spans="1:16" ht="18" x14ac:dyDescent="0.2">
      <c r="A97" s="5">
        <v>45108</v>
      </c>
      <c r="B97" s="6">
        <v>42.75</v>
      </c>
      <c r="C97" s="6">
        <v>55.83</v>
      </c>
      <c r="D97" s="6">
        <v>41.13</v>
      </c>
      <c r="E97" s="6">
        <v>53.96</v>
      </c>
      <c r="F97" s="6">
        <v>48.01</v>
      </c>
      <c r="G97" s="7">
        <v>59782500</v>
      </c>
      <c r="N97">
        <f>SUM(N94:N96)</f>
        <v>1</v>
      </c>
    </row>
    <row r="98" spans="1:16" ht="18" x14ac:dyDescent="0.2">
      <c r="A98" s="5">
        <v>45078</v>
      </c>
      <c r="B98" s="6">
        <v>36.68</v>
      </c>
      <c r="C98" s="6">
        <v>44.22</v>
      </c>
      <c r="D98" s="6">
        <v>35.46</v>
      </c>
      <c r="E98" s="6">
        <v>42.36</v>
      </c>
      <c r="F98" s="6">
        <v>37.08</v>
      </c>
      <c r="G98" s="7">
        <v>66703400</v>
      </c>
      <c r="L98" t="s">
        <v>3</v>
      </c>
    </row>
    <row r="99" spans="1:16" ht="18" x14ac:dyDescent="0.2">
      <c r="A99" s="5">
        <v>45047</v>
      </c>
      <c r="B99" s="6">
        <v>43.42</v>
      </c>
      <c r="C99" s="6">
        <v>44.38</v>
      </c>
      <c r="D99" s="6">
        <v>28.4</v>
      </c>
      <c r="E99" s="6">
        <v>36.1</v>
      </c>
      <c r="F99" s="6">
        <v>31.6</v>
      </c>
      <c r="G99" s="7">
        <v>122323400</v>
      </c>
    </row>
    <row r="100" spans="1:16" ht="18" x14ac:dyDescent="0.2">
      <c r="A100" s="5">
        <v>45017</v>
      </c>
      <c r="B100" s="6">
        <v>43.57</v>
      </c>
      <c r="C100" s="6">
        <v>47.53</v>
      </c>
      <c r="D100" s="6">
        <v>38.159999999999997</v>
      </c>
      <c r="E100" s="6">
        <v>43.37</v>
      </c>
      <c r="F100" s="6">
        <v>37.96</v>
      </c>
      <c r="G100" s="7">
        <v>68145700</v>
      </c>
      <c r="L100">
        <f>(O85)*(L63) + (O86)*(M63) + (O87)*(N63)</f>
        <v>5.3756949468500657E-3</v>
      </c>
    </row>
    <row r="101" spans="1:16" ht="18" x14ac:dyDescent="0.2">
      <c r="A101" s="5">
        <v>44986</v>
      </c>
      <c r="B101" s="6">
        <v>70</v>
      </c>
      <c r="C101" s="6">
        <v>71.14</v>
      </c>
      <c r="D101" s="6">
        <v>29.17</v>
      </c>
      <c r="E101" s="6">
        <v>43.42</v>
      </c>
      <c r="F101" s="6">
        <v>37.369999999999997</v>
      </c>
      <c r="G101" s="7">
        <v>144493500</v>
      </c>
      <c r="M101">
        <f>O85*L63</f>
        <v>2.7930065002810325E-3</v>
      </c>
      <c r="O101" t="s">
        <v>87</v>
      </c>
      <c r="P101" cm="1">
        <f t="array" ref="P101">MMULT(TRANSPOSE(N94:N96), MMULT(L72:N74, N94:N96))</f>
        <v>6.5525081643966884E-3</v>
      </c>
    </row>
    <row r="102" spans="1:16" ht="18" x14ac:dyDescent="0.2">
      <c r="A102" s="5">
        <v>44958</v>
      </c>
      <c r="B102" s="6">
        <v>72.52</v>
      </c>
      <c r="C102" s="6">
        <v>77.34</v>
      </c>
      <c r="D102" s="6">
        <v>68.38</v>
      </c>
      <c r="E102" s="6">
        <v>70.099999999999994</v>
      </c>
      <c r="F102" s="6">
        <v>60.34</v>
      </c>
      <c r="G102" s="7">
        <v>28010900</v>
      </c>
      <c r="M102">
        <f>O86*M63</f>
        <v>-3.6182046720805335E-3</v>
      </c>
      <c r="O102" t="s">
        <v>88</v>
      </c>
      <c r="P102">
        <f>SQRT(P101)</f>
        <v>8.0947564289462648E-2</v>
      </c>
    </row>
    <row r="103" spans="1:16" ht="18" x14ac:dyDescent="0.2">
      <c r="A103" s="5">
        <v>44927</v>
      </c>
      <c r="B103" s="6">
        <v>67.25</v>
      </c>
      <c r="C103" s="6">
        <v>73.400000000000006</v>
      </c>
      <c r="D103" s="6">
        <v>65.22</v>
      </c>
      <c r="E103" s="6">
        <v>73.31</v>
      </c>
      <c r="F103" s="6">
        <v>63.1</v>
      </c>
      <c r="G103" s="7">
        <v>30792900</v>
      </c>
      <c r="M103">
        <f>O87*N63</f>
        <v>6.2008931186495666E-3</v>
      </c>
    </row>
    <row r="104" spans="1:16" ht="18" x14ac:dyDescent="0.2">
      <c r="A104" s="5">
        <v>44896</v>
      </c>
      <c r="B104" s="6">
        <v>72.42</v>
      </c>
      <c r="C104" s="6">
        <v>72.92</v>
      </c>
      <c r="D104" s="6">
        <v>62.83</v>
      </c>
      <c r="E104" s="6">
        <v>66.849999999999994</v>
      </c>
      <c r="F104" s="6">
        <v>56.95</v>
      </c>
      <c r="G104" s="7">
        <v>31114800</v>
      </c>
    </row>
    <row r="105" spans="1:16" ht="18" x14ac:dyDescent="0.2">
      <c r="A105" s="5">
        <v>44866</v>
      </c>
      <c r="B105" s="6">
        <v>71.400000000000006</v>
      </c>
      <c r="C105" s="6">
        <v>75.5</v>
      </c>
      <c r="D105" s="6">
        <v>65.64</v>
      </c>
      <c r="E105" s="6">
        <v>71.739999999999995</v>
      </c>
      <c r="F105" s="6">
        <v>61.11</v>
      </c>
      <c r="G105" s="7">
        <v>30335800</v>
      </c>
    </row>
    <row r="106" spans="1:16" ht="18" x14ac:dyDescent="0.2">
      <c r="A106" s="5">
        <v>44835</v>
      </c>
      <c r="B106" s="6">
        <v>72.11</v>
      </c>
      <c r="C106" s="6">
        <v>76.44</v>
      </c>
      <c r="D106" s="6">
        <v>64.11</v>
      </c>
      <c r="E106" s="6">
        <v>70.5</v>
      </c>
      <c r="F106" s="6">
        <v>60.06</v>
      </c>
      <c r="G106" s="7">
        <v>38004100</v>
      </c>
    </row>
    <row r="107" spans="1:16" ht="18" x14ac:dyDescent="0.2">
      <c r="A107" s="5">
        <v>44805</v>
      </c>
      <c r="B107" s="6">
        <v>80.19</v>
      </c>
      <c r="C107" s="6">
        <v>86.42</v>
      </c>
      <c r="D107" s="6">
        <v>70.989999999999995</v>
      </c>
      <c r="E107" s="6">
        <v>71.099999999999994</v>
      </c>
      <c r="F107" s="6">
        <v>60.07</v>
      </c>
      <c r="G107" s="7">
        <v>27706600</v>
      </c>
    </row>
    <row r="108" spans="1:16" ht="18" x14ac:dyDescent="0.2">
      <c r="A108" s="5">
        <v>44774</v>
      </c>
      <c r="B108" s="6">
        <v>77.260000000000005</v>
      </c>
      <c r="C108" s="6">
        <v>87.02</v>
      </c>
      <c r="D108" s="6">
        <v>76.41</v>
      </c>
      <c r="E108" s="6">
        <v>80.3</v>
      </c>
      <c r="F108" s="6">
        <v>67.84</v>
      </c>
      <c r="G108" s="7">
        <v>16150400</v>
      </c>
    </row>
    <row r="109" spans="1:16" ht="18" x14ac:dyDescent="0.2">
      <c r="A109" s="5">
        <v>44743</v>
      </c>
      <c r="B109" s="6">
        <v>73.239999999999995</v>
      </c>
      <c r="C109" s="6">
        <v>82.82</v>
      </c>
      <c r="D109" s="6">
        <v>70.709999999999994</v>
      </c>
      <c r="E109" s="6">
        <v>77.77</v>
      </c>
      <c r="F109" s="6">
        <v>65.7</v>
      </c>
      <c r="G109" s="7">
        <v>22438800</v>
      </c>
    </row>
    <row r="110" spans="1:16" ht="18" x14ac:dyDescent="0.2">
      <c r="A110" s="5">
        <v>44713</v>
      </c>
      <c r="B110" s="6">
        <v>83.53</v>
      </c>
      <c r="C110" s="6">
        <v>83.53</v>
      </c>
      <c r="D110" s="6">
        <v>72.069999999999993</v>
      </c>
      <c r="E110" s="6">
        <v>73.38</v>
      </c>
      <c r="F110" s="6">
        <v>61.43</v>
      </c>
      <c r="G110" s="7">
        <v>25320800</v>
      </c>
    </row>
    <row r="111" spans="1:16" ht="18" x14ac:dyDescent="0.2">
      <c r="A111" s="5">
        <v>44682</v>
      </c>
      <c r="B111" s="6">
        <v>84.12</v>
      </c>
      <c r="C111" s="6">
        <v>85.99</v>
      </c>
      <c r="D111" s="6">
        <v>70.790000000000006</v>
      </c>
      <c r="E111" s="6">
        <v>83.21</v>
      </c>
      <c r="F111" s="6">
        <v>69.66</v>
      </c>
      <c r="G111" s="7">
        <v>30311600</v>
      </c>
    </row>
    <row r="112" spans="1:16" ht="18" x14ac:dyDescent="0.2">
      <c r="A112" s="5">
        <v>44652</v>
      </c>
      <c r="B112" s="6">
        <v>93.84</v>
      </c>
      <c r="C112" s="6">
        <v>93.96</v>
      </c>
      <c r="D112" s="6">
        <v>78.569999999999993</v>
      </c>
      <c r="E112" s="6">
        <v>81.900000000000006</v>
      </c>
      <c r="F112" s="6">
        <v>68.56</v>
      </c>
      <c r="G112" s="7">
        <v>34737300</v>
      </c>
    </row>
    <row r="113" spans="1:7" ht="18" x14ac:dyDescent="0.2">
      <c r="A113" s="5">
        <v>44621</v>
      </c>
      <c r="B113" s="6">
        <v>94.31</v>
      </c>
      <c r="C113" s="6">
        <v>97.52</v>
      </c>
      <c r="D113" s="6">
        <v>83.44</v>
      </c>
      <c r="E113" s="6">
        <v>90.43</v>
      </c>
      <c r="F113" s="6">
        <v>75.12</v>
      </c>
      <c r="G113" s="7">
        <v>38107900</v>
      </c>
    </row>
    <row r="114" spans="1:7" ht="18" x14ac:dyDescent="0.2">
      <c r="A114" s="5">
        <v>44593</v>
      </c>
      <c r="B114" s="6">
        <v>93</v>
      </c>
      <c r="C114" s="6">
        <v>102.09</v>
      </c>
      <c r="D114" s="6">
        <v>87.35</v>
      </c>
      <c r="E114" s="6">
        <v>95.49</v>
      </c>
      <c r="F114" s="6">
        <v>79.319999999999993</v>
      </c>
      <c r="G114" s="7">
        <v>21044900</v>
      </c>
    </row>
    <row r="115" spans="1:7" ht="18" x14ac:dyDescent="0.2">
      <c r="A115" s="5">
        <v>44562</v>
      </c>
      <c r="B115" s="6">
        <v>88.32</v>
      </c>
      <c r="C115" s="6">
        <v>102</v>
      </c>
      <c r="D115" s="6">
        <v>85.61</v>
      </c>
      <c r="E115" s="6">
        <v>92.78</v>
      </c>
      <c r="F115" s="6">
        <v>77.069999999999993</v>
      </c>
      <c r="G115" s="7">
        <v>30678000</v>
      </c>
    </row>
    <row r="116" spans="1:7" ht="18" x14ac:dyDescent="0.2">
      <c r="A116" s="5">
        <v>44531</v>
      </c>
      <c r="B116" s="6">
        <v>84.78</v>
      </c>
      <c r="C116" s="6">
        <v>88.76</v>
      </c>
      <c r="D116" s="6">
        <v>79.989999999999995</v>
      </c>
      <c r="E116" s="6">
        <v>87</v>
      </c>
      <c r="F116" s="6">
        <v>71.67</v>
      </c>
      <c r="G116" s="7">
        <v>29554100</v>
      </c>
    </row>
    <row r="117" spans="1:7" ht="18" x14ac:dyDescent="0.2">
      <c r="A117" s="5">
        <v>44501</v>
      </c>
      <c r="B117" s="6">
        <v>86.11</v>
      </c>
      <c r="C117" s="6">
        <v>91.62</v>
      </c>
      <c r="D117" s="6">
        <v>82.29</v>
      </c>
      <c r="E117" s="6">
        <v>82.53</v>
      </c>
      <c r="F117" s="6">
        <v>67.989999999999995</v>
      </c>
      <c r="G117" s="7">
        <v>18812300</v>
      </c>
    </row>
    <row r="118" spans="1:7" ht="18" x14ac:dyDescent="0.2">
      <c r="A118" s="5">
        <v>44470</v>
      </c>
      <c r="B118" s="6">
        <v>80.91</v>
      </c>
      <c r="C118" s="6">
        <v>89.21</v>
      </c>
      <c r="D118" s="6">
        <v>80.63</v>
      </c>
      <c r="E118" s="6">
        <v>85.09</v>
      </c>
      <c r="F118" s="6">
        <v>70.099999999999994</v>
      </c>
      <c r="G118" s="7">
        <v>23072500</v>
      </c>
    </row>
    <row r="119" spans="1:7" ht="18" x14ac:dyDescent="0.2">
      <c r="A119" s="5">
        <v>44440</v>
      </c>
      <c r="B119" s="6">
        <v>73.89</v>
      </c>
      <c r="C119" s="6">
        <v>83.03</v>
      </c>
      <c r="D119" s="6">
        <v>70.37</v>
      </c>
      <c r="E119" s="6">
        <v>80.5</v>
      </c>
      <c r="F119" s="6">
        <v>65.709999999999994</v>
      </c>
      <c r="G119" s="7">
        <v>35303600</v>
      </c>
    </row>
    <row r="120" spans="1:7" ht="18" x14ac:dyDescent="0.2">
      <c r="A120" s="5">
        <v>44409</v>
      </c>
      <c r="B120" s="6">
        <v>69.150000000000006</v>
      </c>
      <c r="C120" s="6">
        <v>76.010000000000005</v>
      </c>
      <c r="D120" s="6">
        <v>66.5</v>
      </c>
      <c r="E120" s="6">
        <v>73.91</v>
      </c>
      <c r="F120" s="6">
        <v>60.33</v>
      </c>
      <c r="G120" s="7">
        <v>26826400</v>
      </c>
    </row>
    <row r="121" spans="1:7" ht="18" x14ac:dyDescent="0.2">
      <c r="A121" s="5">
        <v>44378</v>
      </c>
      <c r="B121" s="6">
        <v>72.08</v>
      </c>
      <c r="C121" s="6">
        <v>72.52</v>
      </c>
      <c r="D121" s="6">
        <v>63.07</v>
      </c>
      <c r="E121" s="6">
        <v>68.66</v>
      </c>
      <c r="F121" s="6">
        <v>56.04</v>
      </c>
      <c r="G121" s="7">
        <v>26629900</v>
      </c>
    </row>
    <row r="122" spans="1:7" ht="18" x14ac:dyDescent="0.2">
      <c r="A122" s="5">
        <v>44348</v>
      </c>
      <c r="B122" s="6">
        <v>79.5</v>
      </c>
      <c r="C122" s="6">
        <v>79.86</v>
      </c>
      <c r="D122" s="6">
        <v>67.540000000000006</v>
      </c>
      <c r="E122" s="6">
        <v>71.34</v>
      </c>
      <c r="F122" s="6">
        <v>57.69</v>
      </c>
      <c r="G122" s="7">
        <v>32975700</v>
      </c>
    </row>
    <row r="123" spans="1:7" ht="18" x14ac:dyDescent="0.2">
      <c r="A123" s="5">
        <v>44317</v>
      </c>
      <c r="B123" s="6">
        <v>76.09</v>
      </c>
      <c r="C123" s="6">
        <v>79.84</v>
      </c>
      <c r="D123" s="6">
        <v>73.33</v>
      </c>
      <c r="E123" s="6">
        <v>78.489999999999995</v>
      </c>
      <c r="F123" s="6">
        <v>63.48</v>
      </c>
      <c r="G123" s="7">
        <v>25831300</v>
      </c>
    </row>
    <row r="124" spans="1:7" ht="18" x14ac:dyDescent="0.2">
      <c r="A124" s="5">
        <v>44287</v>
      </c>
      <c r="B124" s="6">
        <v>71.45</v>
      </c>
      <c r="C124" s="6">
        <v>76.13</v>
      </c>
      <c r="D124" s="6">
        <v>66.36</v>
      </c>
      <c r="E124" s="6">
        <v>75.16</v>
      </c>
      <c r="F124" s="6">
        <v>60.78</v>
      </c>
      <c r="G124" s="7">
        <v>33717700</v>
      </c>
    </row>
    <row r="125" spans="1:7" ht="18" x14ac:dyDescent="0.2">
      <c r="A125" s="5">
        <v>44256</v>
      </c>
      <c r="B125" s="6">
        <v>69.84</v>
      </c>
      <c r="C125" s="6">
        <v>73.62</v>
      </c>
      <c r="D125" s="6">
        <v>65.66</v>
      </c>
      <c r="E125" s="6">
        <v>71.739999999999995</v>
      </c>
      <c r="F125" s="6">
        <v>57.46</v>
      </c>
      <c r="G125" s="7">
        <v>39208300</v>
      </c>
    </row>
    <row r="126" spans="1:7" ht="18" x14ac:dyDescent="0.2">
      <c r="A126" s="5">
        <v>44228</v>
      </c>
      <c r="B126" s="6">
        <v>57.72</v>
      </c>
      <c r="C126" s="6">
        <v>73.73</v>
      </c>
      <c r="D126" s="6">
        <v>56.72</v>
      </c>
      <c r="E126" s="6">
        <v>68.099999999999994</v>
      </c>
      <c r="F126" s="6">
        <v>54.54</v>
      </c>
      <c r="G126" s="7">
        <v>22647600</v>
      </c>
    </row>
    <row r="127" spans="1:7" ht="18" x14ac:dyDescent="0.2">
      <c r="A127" s="5">
        <v>44197</v>
      </c>
      <c r="B127" s="6">
        <v>56.66</v>
      </c>
      <c r="C127" s="6">
        <v>66.08</v>
      </c>
      <c r="D127" s="6">
        <v>54.78</v>
      </c>
      <c r="E127" s="6">
        <v>57.2</v>
      </c>
      <c r="F127" s="6">
        <v>45.81</v>
      </c>
      <c r="G127" s="7">
        <v>28298700</v>
      </c>
    </row>
    <row r="128" spans="1:7" ht="18" x14ac:dyDescent="0.2">
      <c r="A128" s="5">
        <v>44166</v>
      </c>
      <c r="B128" s="6">
        <v>50.92</v>
      </c>
      <c r="C128" s="6">
        <v>56.97</v>
      </c>
      <c r="D128" s="6">
        <v>50.49</v>
      </c>
      <c r="E128" s="6">
        <v>55.86</v>
      </c>
      <c r="F128" s="6">
        <v>44.16</v>
      </c>
      <c r="G128" s="7">
        <v>34769300</v>
      </c>
    </row>
    <row r="132" spans="1:7" x14ac:dyDescent="0.2">
      <c r="A132" s="8" t="s">
        <v>7</v>
      </c>
      <c r="B132" s="8" t="s">
        <v>8</v>
      </c>
      <c r="C132" s="8" t="s">
        <v>9</v>
      </c>
      <c r="D132" s="8" t="s">
        <v>10</v>
      </c>
      <c r="E132" s="8" t="s">
        <v>11</v>
      </c>
      <c r="F132" s="8" t="s">
        <v>12</v>
      </c>
      <c r="G132" s="8" t="s">
        <v>13</v>
      </c>
    </row>
    <row r="133" spans="1:7" x14ac:dyDescent="0.2">
      <c r="A133" s="9"/>
      <c r="B133" s="8"/>
      <c r="C133" s="8"/>
      <c r="D133" s="8"/>
      <c r="E133" s="8"/>
      <c r="F133" s="8"/>
      <c r="G133" s="10"/>
    </row>
    <row r="134" spans="1:7" x14ac:dyDescent="0.2">
      <c r="A134" s="9">
        <v>45962</v>
      </c>
      <c r="B134" s="8">
        <v>44.4</v>
      </c>
      <c r="C134" s="8">
        <v>44.74</v>
      </c>
      <c r="D134" s="8">
        <v>43.37</v>
      </c>
      <c r="E134" s="8">
        <v>44.74</v>
      </c>
      <c r="F134" s="8">
        <v>44.74</v>
      </c>
      <c r="G134" s="10">
        <v>47378200</v>
      </c>
    </row>
    <row r="135" spans="1:7" x14ac:dyDescent="0.2">
      <c r="A135" s="9">
        <v>45931</v>
      </c>
      <c r="B135" s="8">
        <v>45.36</v>
      </c>
      <c r="C135" s="8">
        <v>46.37</v>
      </c>
      <c r="D135" s="8">
        <v>40.78</v>
      </c>
      <c r="E135" s="8">
        <v>44.63</v>
      </c>
      <c r="F135" s="8">
        <v>44.63</v>
      </c>
      <c r="G135" s="10">
        <v>196752000</v>
      </c>
    </row>
    <row r="136" spans="1:7" x14ac:dyDescent="0.2">
      <c r="A136" s="9">
        <v>45901</v>
      </c>
      <c r="B136" s="8">
        <v>46.39</v>
      </c>
      <c r="C136" s="8">
        <v>47.46</v>
      </c>
      <c r="D136" s="8">
        <v>43.99</v>
      </c>
      <c r="E136" s="8">
        <v>45.72</v>
      </c>
      <c r="F136" s="8">
        <v>45.72</v>
      </c>
      <c r="G136" s="10">
        <v>166292700</v>
      </c>
    </row>
    <row r="137" spans="1:7" x14ac:dyDescent="0.2">
      <c r="A137" s="9">
        <v>45870</v>
      </c>
      <c r="B137" s="8">
        <v>42.92</v>
      </c>
      <c r="C137" s="8">
        <v>47.14</v>
      </c>
      <c r="D137" s="8">
        <v>41.98</v>
      </c>
      <c r="E137" s="8">
        <v>46.82</v>
      </c>
      <c r="F137" s="8">
        <v>46.25</v>
      </c>
      <c r="G137" s="10">
        <v>143997800</v>
      </c>
    </row>
    <row r="138" spans="1:7" x14ac:dyDescent="0.2">
      <c r="A138" s="9">
        <v>45839</v>
      </c>
      <c r="B138" s="8">
        <v>42.82</v>
      </c>
      <c r="C138" s="8">
        <v>46.13</v>
      </c>
      <c r="D138" s="8">
        <v>42.74</v>
      </c>
      <c r="E138" s="8">
        <v>43.71</v>
      </c>
      <c r="F138" s="8">
        <v>43.18</v>
      </c>
      <c r="G138" s="10">
        <v>179922600</v>
      </c>
    </row>
    <row r="139" spans="1:7" x14ac:dyDescent="0.2">
      <c r="A139" s="9">
        <v>45809</v>
      </c>
      <c r="B139" s="8">
        <v>39.21</v>
      </c>
      <c r="C139" s="8">
        <v>43.25</v>
      </c>
      <c r="D139" s="8">
        <v>38.67</v>
      </c>
      <c r="E139" s="8">
        <v>42.99</v>
      </c>
      <c r="F139" s="8">
        <v>42.47</v>
      </c>
      <c r="G139" s="10">
        <v>143791300</v>
      </c>
    </row>
    <row r="140" spans="1:7" x14ac:dyDescent="0.2">
      <c r="A140" s="9">
        <v>45778</v>
      </c>
      <c r="B140" s="8">
        <v>38.31</v>
      </c>
      <c r="C140" s="8">
        <v>41.49</v>
      </c>
      <c r="D140" s="8">
        <v>38.159999999999997</v>
      </c>
      <c r="E140" s="8">
        <v>39.5</v>
      </c>
      <c r="F140" s="8">
        <v>38.51</v>
      </c>
      <c r="G140" s="10">
        <v>161270100</v>
      </c>
    </row>
    <row r="141" spans="1:7" x14ac:dyDescent="0.2">
      <c r="A141" s="9">
        <v>45748</v>
      </c>
      <c r="B141" s="8">
        <v>40.78</v>
      </c>
      <c r="C141" s="8">
        <v>41.63</v>
      </c>
      <c r="D141" s="8">
        <v>33.56</v>
      </c>
      <c r="E141" s="8">
        <v>38.340000000000003</v>
      </c>
      <c r="F141" s="8">
        <v>37.380000000000003</v>
      </c>
      <c r="G141" s="10">
        <v>288658400</v>
      </c>
    </row>
    <row r="142" spans="1:7" x14ac:dyDescent="0.2">
      <c r="A142" s="9">
        <v>45717</v>
      </c>
      <c r="B142" s="8">
        <v>46.54</v>
      </c>
      <c r="C142" s="8">
        <v>46.92</v>
      </c>
      <c r="D142" s="8">
        <v>39.409999999999997</v>
      </c>
      <c r="E142" s="8">
        <v>41.15</v>
      </c>
      <c r="F142" s="8">
        <v>40.119999999999997</v>
      </c>
      <c r="G142" s="10">
        <v>204852900</v>
      </c>
    </row>
    <row r="143" spans="1:7" x14ac:dyDescent="0.2">
      <c r="A143" s="9">
        <v>45689</v>
      </c>
      <c r="B143" s="8">
        <v>46.65</v>
      </c>
      <c r="C143" s="8">
        <v>48.27</v>
      </c>
      <c r="D143" s="8">
        <v>44.79</v>
      </c>
      <c r="E143" s="8">
        <v>46.35</v>
      </c>
      <c r="F143" s="8">
        <v>44.68</v>
      </c>
      <c r="G143" s="10">
        <v>121647200</v>
      </c>
    </row>
    <row r="144" spans="1:7" x14ac:dyDescent="0.2">
      <c r="A144" s="9">
        <v>45658</v>
      </c>
      <c r="B144" s="8">
        <v>43.74</v>
      </c>
      <c r="C144" s="8">
        <v>48.53</v>
      </c>
      <c r="D144" s="8">
        <v>42.57</v>
      </c>
      <c r="E144" s="8">
        <v>47.62</v>
      </c>
      <c r="F144" s="8">
        <v>45.9</v>
      </c>
      <c r="G144" s="10">
        <v>157933000</v>
      </c>
    </row>
    <row r="145" spans="1:7" x14ac:dyDescent="0.2">
      <c r="A145" s="9">
        <v>45627</v>
      </c>
      <c r="B145" s="8">
        <v>47.9</v>
      </c>
      <c r="C145" s="8">
        <v>47.97</v>
      </c>
      <c r="D145" s="8">
        <v>42.28</v>
      </c>
      <c r="E145" s="8">
        <v>43.38</v>
      </c>
      <c r="F145" s="8">
        <v>41.82</v>
      </c>
      <c r="G145" s="10">
        <v>148797800</v>
      </c>
    </row>
    <row r="146" spans="1:7" x14ac:dyDescent="0.2">
      <c r="A146" s="9">
        <v>45597</v>
      </c>
      <c r="B146" s="8">
        <v>43.33</v>
      </c>
      <c r="C146" s="8">
        <v>49.06</v>
      </c>
      <c r="D146" s="8">
        <v>42.04</v>
      </c>
      <c r="E146" s="8">
        <v>47.68</v>
      </c>
      <c r="F146" s="8">
        <v>45.44</v>
      </c>
      <c r="G146" s="10">
        <v>178506700</v>
      </c>
    </row>
    <row r="147" spans="1:7" x14ac:dyDescent="0.2">
      <c r="A147" s="9">
        <v>45566</v>
      </c>
      <c r="B147" s="8">
        <v>42.51</v>
      </c>
      <c r="C147" s="8">
        <v>44.93</v>
      </c>
      <c r="D147" s="8">
        <v>41.08</v>
      </c>
      <c r="E147" s="8">
        <v>43.05</v>
      </c>
      <c r="F147" s="8">
        <v>41.03</v>
      </c>
      <c r="G147" s="10">
        <v>181114000</v>
      </c>
    </row>
    <row r="148" spans="1:7" x14ac:dyDescent="0.2">
      <c r="A148" s="9">
        <v>45536</v>
      </c>
      <c r="B148" s="8">
        <v>44.09</v>
      </c>
      <c r="C148" s="8">
        <v>44.76</v>
      </c>
      <c r="D148" s="8">
        <v>40.67</v>
      </c>
      <c r="E148" s="8">
        <v>42.77</v>
      </c>
      <c r="F148" s="8">
        <v>40.76</v>
      </c>
      <c r="G148" s="10">
        <v>154849300</v>
      </c>
    </row>
    <row r="149" spans="1:7" x14ac:dyDescent="0.2">
      <c r="A149" s="9">
        <v>45505</v>
      </c>
      <c r="B149" s="8">
        <v>44.76</v>
      </c>
      <c r="C149" s="8">
        <v>44.87</v>
      </c>
      <c r="D149" s="8">
        <v>39.92</v>
      </c>
      <c r="E149" s="8">
        <v>44.46</v>
      </c>
      <c r="F149" s="8">
        <v>41.85</v>
      </c>
      <c r="G149" s="10">
        <v>159398200</v>
      </c>
    </row>
    <row r="150" spans="1:7" x14ac:dyDescent="0.2">
      <c r="A150" s="9">
        <v>45474</v>
      </c>
      <c r="B150" s="8">
        <v>38.82</v>
      </c>
      <c r="C150" s="8">
        <v>45.31</v>
      </c>
      <c r="D150" s="8">
        <v>37.85</v>
      </c>
      <c r="E150" s="8">
        <v>44.69</v>
      </c>
      <c r="F150" s="8">
        <v>42.07</v>
      </c>
      <c r="G150" s="10">
        <v>165060800</v>
      </c>
    </row>
    <row r="151" spans="1:7" x14ac:dyDescent="0.2">
      <c r="A151" s="9">
        <v>45444</v>
      </c>
      <c r="B151" s="8">
        <v>38.11</v>
      </c>
      <c r="C151" s="8">
        <v>38.89</v>
      </c>
      <c r="D151" s="8">
        <v>35.1</v>
      </c>
      <c r="E151" s="8">
        <v>38.85</v>
      </c>
      <c r="F151" s="8">
        <v>36.57</v>
      </c>
      <c r="G151" s="10">
        <v>139227300</v>
      </c>
    </row>
    <row r="152" spans="1:7" x14ac:dyDescent="0.2">
      <c r="A152" s="9">
        <v>45413</v>
      </c>
      <c r="B152" s="8">
        <v>37.69</v>
      </c>
      <c r="C152" s="8">
        <v>40.51</v>
      </c>
      <c r="D152" s="8">
        <v>36.79</v>
      </c>
      <c r="E152" s="8">
        <v>37.75</v>
      </c>
      <c r="F152" s="8">
        <v>35.07</v>
      </c>
      <c r="G152" s="10">
        <v>143673500</v>
      </c>
    </row>
    <row r="153" spans="1:7" x14ac:dyDescent="0.2">
      <c r="A153" s="9">
        <v>45383</v>
      </c>
      <c r="B153" s="8">
        <v>38.92</v>
      </c>
      <c r="C153" s="8">
        <v>39.229999999999997</v>
      </c>
      <c r="D153" s="8">
        <v>35.090000000000003</v>
      </c>
      <c r="E153" s="8">
        <v>37.549999999999997</v>
      </c>
      <c r="F153" s="8">
        <v>34.880000000000003</v>
      </c>
      <c r="G153" s="10">
        <v>188458300</v>
      </c>
    </row>
    <row r="154" spans="1:7" x14ac:dyDescent="0.2">
      <c r="A154" s="9">
        <v>45352</v>
      </c>
      <c r="B154" s="8">
        <v>34.97</v>
      </c>
      <c r="C154" s="8">
        <v>39.29</v>
      </c>
      <c r="D154" s="8">
        <v>34.51</v>
      </c>
      <c r="E154" s="8">
        <v>38.979999999999997</v>
      </c>
      <c r="F154" s="8">
        <v>36.21</v>
      </c>
      <c r="G154" s="10">
        <v>195065700</v>
      </c>
    </row>
    <row r="155" spans="1:7" x14ac:dyDescent="0.2">
      <c r="A155" s="9">
        <v>45323</v>
      </c>
      <c r="B155" s="8">
        <v>37.25</v>
      </c>
      <c r="C155" s="8">
        <v>37.99</v>
      </c>
      <c r="D155" s="8">
        <v>34.229999999999997</v>
      </c>
      <c r="E155" s="8">
        <v>34.979999999999997</v>
      </c>
      <c r="F155" s="8">
        <v>32.020000000000003</v>
      </c>
      <c r="G155" s="10">
        <v>201344800</v>
      </c>
    </row>
    <row r="156" spans="1:7" x14ac:dyDescent="0.2">
      <c r="A156" s="9">
        <v>45292</v>
      </c>
      <c r="B156" s="8">
        <v>36.630000000000003</v>
      </c>
      <c r="C156" s="8">
        <v>38.47</v>
      </c>
      <c r="D156" s="8">
        <v>35.090000000000003</v>
      </c>
      <c r="E156" s="8">
        <v>37.06</v>
      </c>
      <c r="F156" s="8">
        <v>33.93</v>
      </c>
      <c r="G156" s="10">
        <v>206938100</v>
      </c>
    </row>
    <row r="157" spans="1:7" x14ac:dyDescent="0.2">
      <c r="A157" s="9">
        <v>45261</v>
      </c>
      <c r="B157" s="8">
        <v>32.020000000000003</v>
      </c>
      <c r="C157" s="8">
        <v>37.83</v>
      </c>
      <c r="D157" s="8">
        <v>31.96</v>
      </c>
      <c r="E157" s="8">
        <v>36.92</v>
      </c>
      <c r="F157" s="8">
        <v>33.799999999999997</v>
      </c>
      <c r="G157" s="10">
        <v>203588700</v>
      </c>
    </row>
    <row r="158" spans="1:7" x14ac:dyDescent="0.2">
      <c r="A158" s="9">
        <v>45231</v>
      </c>
      <c r="B158" s="8">
        <v>28.38</v>
      </c>
      <c r="C158" s="8">
        <v>32.71</v>
      </c>
      <c r="D158" s="8">
        <v>28.13</v>
      </c>
      <c r="E158" s="8">
        <v>32.14</v>
      </c>
      <c r="F158" s="8">
        <v>28.92</v>
      </c>
      <c r="G158" s="10">
        <v>170239400</v>
      </c>
    </row>
    <row r="159" spans="1:7" x14ac:dyDescent="0.2">
      <c r="A159" s="9">
        <v>45200</v>
      </c>
      <c r="B159" s="8">
        <v>28.5</v>
      </c>
      <c r="C159" s="8">
        <v>29.92</v>
      </c>
      <c r="D159" s="8">
        <v>26.57</v>
      </c>
      <c r="E159" s="8">
        <v>28.36</v>
      </c>
      <c r="F159" s="8">
        <v>25.52</v>
      </c>
      <c r="G159" s="10">
        <v>236434300</v>
      </c>
    </row>
    <row r="160" spans="1:7" x14ac:dyDescent="0.2">
      <c r="A160" s="9">
        <v>45170</v>
      </c>
      <c r="B160" s="8">
        <v>30.88</v>
      </c>
      <c r="C160" s="8">
        <v>31.35</v>
      </c>
      <c r="D160" s="8">
        <v>27.7</v>
      </c>
      <c r="E160" s="8">
        <v>28.61</v>
      </c>
      <c r="F160" s="8">
        <v>25.74</v>
      </c>
      <c r="G160" s="10">
        <v>203115300</v>
      </c>
    </row>
    <row r="161" spans="1:7" x14ac:dyDescent="0.2">
      <c r="A161" s="9">
        <v>45139</v>
      </c>
      <c r="B161" s="8">
        <v>32.75</v>
      </c>
      <c r="C161" s="8">
        <v>32.96</v>
      </c>
      <c r="D161" s="8">
        <v>27.95</v>
      </c>
      <c r="E161" s="8">
        <v>30.55</v>
      </c>
      <c r="F161" s="8">
        <v>27.04</v>
      </c>
      <c r="G161" s="10">
        <v>232988500</v>
      </c>
    </row>
    <row r="162" spans="1:7" x14ac:dyDescent="0.2">
      <c r="A162" s="9">
        <v>45108</v>
      </c>
      <c r="B162" s="8">
        <v>30.52</v>
      </c>
      <c r="C162" s="8">
        <v>35.78</v>
      </c>
      <c r="D162" s="8">
        <v>29.9</v>
      </c>
      <c r="E162" s="8">
        <v>33.22</v>
      </c>
      <c r="F162" s="8">
        <v>29.4</v>
      </c>
      <c r="G162" s="10">
        <v>208971200</v>
      </c>
    </row>
    <row r="163" spans="1:7" x14ac:dyDescent="0.2">
      <c r="A163" s="9">
        <v>45078</v>
      </c>
      <c r="B163" s="8">
        <v>31.04</v>
      </c>
      <c r="C163" s="8">
        <v>33.75</v>
      </c>
      <c r="D163" s="8">
        <v>29.7</v>
      </c>
      <c r="E163" s="8">
        <v>30.35</v>
      </c>
      <c r="F163" s="8">
        <v>26.86</v>
      </c>
      <c r="G163" s="10">
        <v>241396100</v>
      </c>
    </row>
    <row r="164" spans="1:7" x14ac:dyDescent="0.2">
      <c r="A164" s="9">
        <v>45047</v>
      </c>
      <c r="B164" s="8">
        <v>32.43</v>
      </c>
      <c r="C164" s="8">
        <v>32.53</v>
      </c>
      <c r="D164" s="8">
        <v>25.56</v>
      </c>
      <c r="E164" s="8">
        <v>30.47</v>
      </c>
      <c r="F164" s="8">
        <v>26.46</v>
      </c>
      <c r="G164" s="10">
        <v>340877700</v>
      </c>
    </row>
    <row r="165" spans="1:7" x14ac:dyDescent="0.2">
      <c r="A165" s="9">
        <v>45017</v>
      </c>
      <c r="B165" s="8">
        <v>33.99</v>
      </c>
      <c r="C165" s="8">
        <v>35.39</v>
      </c>
      <c r="D165" s="8">
        <v>30.25</v>
      </c>
      <c r="E165" s="8">
        <v>32.58</v>
      </c>
      <c r="F165" s="8">
        <v>28.29</v>
      </c>
      <c r="G165" s="10">
        <v>258189600</v>
      </c>
    </row>
    <row r="166" spans="1:7" x14ac:dyDescent="0.2">
      <c r="A166" s="9">
        <v>44986</v>
      </c>
      <c r="B166" s="8">
        <v>46.61</v>
      </c>
      <c r="C166" s="8">
        <v>47.05</v>
      </c>
      <c r="D166" s="8">
        <v>28.7</v>
      </c>
      <c r="E166" s="8">
        <v>34.1</v>
      </c>
      <c r="F166" s="8">
        <v>29.61</v>
      </c>
      <c r="G166" s="10">
        <v>507560900</v>
      </c>
    </row>
    <row r="167" spans="1:7" x14ac:dyDescent="0.2">
      <c r="A167" s="9">
        <v>44958</v>
      </c>
      <c r="B167" s="8">
        <v>48.95</v>
      </c>
      <c r="C167" s="8">
        <v>50.57</v>
      </c>
      <c r="D167" s="8">
        <v>46.04</v>
      </c>
      <c r="E167" s="8">
        <v>46.95</v>
      </c>
      <c r="F167" s="8">
        <v>40.340000000000003</v>
      </c>
      <c r="G167" s="10">
        <v>101482700</v>
      </c>
    </row>
    <row r="168" spans="1:7" x14ac:dyDescent="0.2">
      <c r="A168" s="9">
        <v>44927</v>
      </c>
      <c r="B168" s="8">
        <v>43.42</v>
      </c>
      <c r="C168" s="8">
        <v>51.26</v>
      </c>
      <c r="D168" s="8">
        <v>43.01</v>
      </c>
      <c r="E168" s="8">
        <v>49.39</v>
      </c>
      <c r="F168" s="8">
        <v>42.44</v>
      </c>
      <c r="G168" s="10">
        <v>145712200</v>
      </c>
    </row>
    <row r="169" spans="1:7" x14ac:dyDescent="0.2">
      <c r="A169" s="9">
        <v>44896</v>
      </c>
      <c r="B169" s="8">
        <v>47.06</v>
      </c>
      <c r="C169" s="8">
        <v>47.46</v>
      </c>
      <c r="D169" s="8">
        <v>40.549999999999997</v>
      </c>
      <c r="E169" s="8">
        <v>43.03</v>
      </c>
      <c r="F169" s="8">
        <v>36.979999999999997</v>
      </c>
      <c r="G169" s="10">
        <v>181428500</v>
      </c>
    </row>
    <row r="170" spans="1:7" x14ac:dyDescent="0.2">
      <c r="A170" s="9">
        <v>44866</v>
      </c>
      <c r="B170" s="8">
        <v>45.19</v>
      </c>
      <c r="C170" s="8">
        <v>47.47</v>
      </c>
      <c r="D170" s="8">
        <v>42.14</v>
      </c>
      <c r="E170" s="8">
        <v>46.81</v>
      </c>
      <c r="F170" s="8">
        <v>39.75</v>
      </c>
      <c r="G170" s="10">
        <v>131948800</v>
      </c>
    </row>
    <row r="171" spans="1:7" x14ac:dyDescent="0.2">
      <c r="A171" s="9">
        <v>44835</v>
      </c>
      <c r="B171" s="8">
        <v>44.14</v>
      </c>
      <c r="C171" s="8">
        <v>46.6</v>
      </c>
      <c r="D171" s="8">
        <v>40.01</v>
      </c>
      <c r="E171" s="8">
        <v>44.79</v>
      </c>
      <c r="F171" s="8">
        <v>38.04</v>
      </c>
      <c r="G171" s="10">
        <v>159100400</v>
      </c>
    </row>
    <row r="172" spans="1:7" x14ac:dyDescent="0.2">
      <c r="A172" s="9">
        <v>44805</v>
      </c>
      <c r="B172" s="8">
        <v>46.94</v>
      </c>
      <c r="C172" s="8">
        <v>49.81</v>
      </c>
      <c r="D172" s="8">
        <v>42.56</v>
      </c>
      <c r="E172" s="8">
        <v>43.54</v>
      </c>
      <c r="F172" s="8">
        <v>36.979999999999997</v>
      </c>
      <c r="G172" s="10">
        <v>132125400</v>
      </c>
    </row>
    <row r="173" spans="1:7" x14ac:dyDescent="0.2">
      <c r="A173" s="9">
        <v>44774</v>
      </c>
      <c r="B173" s="8">
        <v>49.95</v>
      </c>
      <c r="C173" s="8">
        <v>52.22</v>
      </c>
      <c r="D173" s="8">
        <v>46.8</v>
      </c>
      <c r="E173" s="8">
        <v>46.84</v>
      </c>
      <c r="F173" s="8">
        <v>39.369999999999997</v>
      </c>
      <c r="G173" s="10">
        <v>94975900</v>
      </c>
    </row>
    <row r="174" spans="1:7" x14ac:dyDescent="0.2">
      <c r="A174" s="9">
        <v>44743</v>
      </c>
      <c r="B174" s="8">
        <v>47.31</v>
      </c>
      <c r="C174" s="8">
        <v>50.61</v>
      </c>
      <c r="D174" s="8">
        <v>44.68</v>
      </c>
      <c r="E174" s="8">
        <v>50.47</v>
      </c>
      <c r="F174" s="8">
        <v>42.42</v>
      </c>
      <c r="G174" s="10">
        <v>110474100</v>
      </c>
    </row>
    <row r="175" spans="1:7" x14ac:dyDescent="0.2">
      <c r="A175" s="9">
        <v>44713</v>
      </c>
      <c r="B175" s="8">
        <v>49.9</v>
      </c>
      <c r="C175" s="8">
        <v>50.4</v>
      </c>
      <c r="D175" s="8">
        <v>44.75</v>
      </c>
      <c r="E175" s="8">
        <v>47.43</v>
      </c>
      <c r="F175" s="8">
        <v>39.869999999999997</v>
      </c>
      <c r="G175" s="10">
        <v>145218600</v>
      </c>
    </row>
    <row r="176" spans="1:7" x14ac:dyDescent="0.2">
      <c r="A176" s="9">
        <v>44682</v>
      </c>
      <c r="B176" s="8">
        <v>49.2</v>
      </c>
      <c r="C176" s="8">
        <v>50.78</v>
      </c>
      <c r="D176" s="8">
        <v>44.85</v>
      </c>
      <c r="E176" s="8">
        <v>49.74</v>
      </c>
      <c r="F176" s="8">
        <v>41.38</v>
      </c>
      <c r="G176" s="10">
        <v>182420300</v>
      </c>
    </row>
    <row r="177" spans="1:7" x14ac:dyDescent="0.2">
      <c r="A177" s="9">
        <v>44652</v>
      </c>
      <c r="B177" s="8">
        <v>57</v>
      </c>
      <c r="C177" s="8">
        <v>57.5</v>
      </c>
      <c r="D177" s="8">
        <v>48.22</v>
      </c>
      <c r="E177" s="8">
        <v>48.35</v>
      </c>
      <c r="F177" s="8">
        <v>40.229999999999997</v>
      </c>
      <c r="G177" s="10">
        <v>158334900</v>
      </c>
    </row>
    <row r="178" spans="1:7" x14ac:dyDescent="0.2">
      <c r="A178" s="9">
        <v>44621</v>
      </c>
      <c r="B178" s="8">
        <v>61.28</v>
      </c>
      <c r="C178" s="8">
        <v>61.5</v>
      </c>
      <c r="D178" s="8">
        <v>56.19</v>
      </c>
      <c r="E178" s="8">
        <v>56.7</v>
      </c>
      <c r="F178" s="8">
        <v>47.17</v>
      </c>
      <c r="G178" s="10">
        <v>163980200</v>
      </c>
    </row>
    <row r="179" spans="1:7" x14ac:dyDescent="0.2">
      <c r="A179" s="9">
        <v>44593</v>
      </c>
      <c r="B179" s="8">
        <v>62.76</v>
      </c>
      <c r="C179" s="8">
        <v>66.099999999999994</v>
      </c>
      <c r="D179" s="8">
        <v>57.17</v>
      </c>
      <c r="E179" s="8">
        <v>62.22</v>
      </c>
      <c r="F179" s="8">
        <v>51.39</v>
      </c>
      <c r="G179" s="10">
        <v>113382600</v>
      </c>
    </row>
    <row r="180" spans="1:7" x14ac:dyDescent="0.2">
      <c r="A180" s="9">
        <v>44562</v>
      </c>
      <c r="B180" s="8">
        <v>59.33</v>
      </c>
      <c r="C180" s="8">
        <v>68.95</v>
      </c>
      <c r="D180" s="8">
        <v>59.3</v>
      </c>
      <c r="E180" s="8">
        <v>62.82</v>
      </c>
      <c r="F180" s="8">
        <v>51.88</v>
      </c>
      <c r="G180" s="10">
        <v>141082600</v>
      </c>
    </row>
    <row r="181" spans="1:7" x14ac:dyDescent="0.2">
      <c r="A181" s="9">
        <v>44531</v>
      </c>
      <c r="B181" s="8">
        <v>60.89</v>
      </c>
      <c r="C181" s="8">
        <v>61.42</v>
      </c>
      <c r="D181" s="8">
        <v>54.73</v>
      </c>
      <c r="E181" s="8">
        <v>58.55</v>
      </c>
      <c r="F181" s="8">
        <v>48.36</v>
      </c>
      <c r="G181" s="10">
        <v>104584300</v>
      </c>
    </row>
    <row r="182" spans="1:7" x14ac:dyDescent="0.2">
      <c r="A182" s="9">
        <v>44501</v>
      </c>
      <c r="B182" s="8">
        <v>64</v>
      </c>
      <c r="C182" s="8">
        <v>65.42</v>
      </c>
      <c r="D182" s="8">
        <v>58.8</v>
      </c>
      <c r="E182" s="8">
        <v>59.31</v>
      </c>
      <c r="F182" s="8">
        <v>48.62</v>
      </c>
      <c r="G182" s="10">
        <v>89313300</v>
      </c>
    </row>
    <row r="183" spans="1:7" x14ac:dyDescent="0.2">
      <c r="A183" s="9">
        <v>44470</v>
      </c>
      <c r="B183" s="8">
        <v>59.1</v>
      </c>
      <c r="C183" s="8">
        <v>64.92</v>
      </c>
      <c r="D183" s="8">
        <v>58.46</v>
      </c>
      <c r="E183" s="8">
        <v>63.47</v>
      </c>
      <c r="F183" s="8">
        <v>52.03</v>
      </c>
      <c r="G183" s="10">
        <v>87166100</v>
      </c>
    </row>
    <row r="184" spans="1:7" x14ac:dyDescent="0.2">
      <c r="A184" s="9">
        <v>44440</v>
      </c>
      <c r="B184" s="8">
        <v>57.4</v>
      </c>
      <c r="C184" s="8">
        <v>60.74</v>
      </c>
      <c r="D184" s="8">
        <v>52.63</v>
      </c>
      <c r="E184" s="8">
        <v>58.65</v>
      </c>
      <c r="F184" s="8">
        <v>48.08</v>
      </c>
      <c r="G184" s="10">
        <v>119053400</v>
      </c>
    </row>
    <row r="185" spans="1:7" x14ac:dyDescent="0.2">
      <c r="A185" s="9">
        <v>44409</v>
      </c>
      <c r="B185" s="8">
        <v>54.73</v>
      </c>
      <c r="C185" s="8">
        <v>58.94</v>
      </c>
      <c r="D185" s="8">
        <v>53.25</v>
      </c>
      <c r="E185" s="8">
        <v>57.06</v>
      </c>
      <c r="F185" s="8">
        <v>46.39</v>
      </c>
      <c r="G185" s="10">
        <v>87183500</v>
      </c>
    </row>
    <row r="186" spans="1:7" x14ac:dyDescent="0.2">
      <c r="A186" s="9">
        <v>44378</v>
      </c>
      <c r="B186" s="8">
        <v>55.83</v>
      </c>
      <c r="C186" s="8">
        <v>56.33</v>
      </c>
      <c r="D186" s="8">
        <v>51.87</v>
      </c>
      <c r="E186" s="8">
        <v>54.43</v>
      </c>
      <c r="F186" s="8">
        <v>44.26</v>
      </c>
      <c r="G186" s="10">
        <v>101484500</v>
      </c>
    </row>
    <row r="187" spans="1:7" x14ac:dyDescent="0.2">
      <c r="A187" s="9">
        <v>44348</v>
      </c>
      <c r="B187" s="8">
        <v>62.2</v>
      </c>
      <c r="C187" s="8">
        <v>62.59</v>
      </c>
      <c r="D187" s="8">
        <v>52.61</v>
      </c>
      <c r="E187" s="8">
        <v>55.5</v>
      </c>
      <c r="F187" s="8">
        <v>45.13</v>
      </c>
      <c r="G187" s="10">
        <v>131368100</v>
      </c>
    </row>
    <row r="188" spans="1:7" x14ac:dyDescent="0.2">
      <c r="A188" s="9">
        <v>44317</v>
      </c>
      <c r="B188" s="8">
        <v>60.01</v>
      </c>
      <c r="C188" s="8">
        <v>62.69</v>
      </c>
      <c r="D188" s="8">
        <v>58.27</v>
      </c>
      <c r="E188" s="8">
        <v>61.78</v>
      </c>
      <c r="F188" s="8">
        <v>49.85</v>
      </c>
      <c r="G188" s="10">
        <v>112079400</v>
      </c>
    </row>
    <row r="189" spans="1:7" x14ac:dyDescent="0.2">
      <c r="A189" s="9">
        <v>44287</v>
      </c>
      <c r="B189" s="8">
        <v>58.3</v>
      </c>
      <c r="C189" s="8">
        <v>60.42</v>
      </c>
      <c r="D189" s="8">
        <v>55.16</v>
      </c>
      <c r="E189" s="8">
        <v>59.31</v>
      </c>
      <c r="F189" s="8">
        <v>47.86</v>
      </c>
      <c r="G189" s="10">
        <v>108724400</v>
      </c>
    </row>
    <row r="190" spans="1:7" x14ac:dyDescent="0.2">
      <c r="A190" s="9">
        <v>44256</v>
      </c>
      <c r="B190" s="8">
        <v>58.26</v>
      </c>
      <c r="C190" s="8">
        <v>60.91</v>
      </c>
      <c r="D190" s="8">
        <v>55.28</v>
      </c>
      <c r="E190" s="8">
        <v>58.32</v>
      </c>
      <c r="F190" s="8">
        <v>47.06</v>
      </c>
      <c r="G190" s="10">
        <v>151285500</v>
      </c>
    </row>
    <row r="191" spans="1:7" x14ac:dyDescent="0.2">
      <c r="A191" s="9">
        <v>44228</v>
      </c>
      <c r="B191" s="8">
        <v>48.31</v>
      </c>
      <c r="C191" s="8">
        <v>61.26</v>
      </c>
      <c r="D191" s="8">
        <v>47.71</v>
      </c>
      <c r="E191" s="8">
        <v>56.96</v>
      </c>
      <c r="F191" s="8">
        <v>45.58</v>
      </c>
      <c r="G191" s="10">
        <v>111698400</v>
      </c>
    </row>
    <row r="192" spans="1:7" x14ac:dyDescent="0.2">
      <c r="A192" s="9">
        <v>44197</v>
      </c>
      <c r="B192" s="8">
        <v>48.25</v>
      </c>
      <c r="C192" s="8">
        <v>53.49</v>
      </c>
      <c r="D192" s="8">
        <v>46.71</v>
      </c>
      <c r="E192" s="8">
        <v>47.98</v>
      </c>
      <c r="F192" s="8">
        <v>38.39</v>
      </c>
      <c r="G192" s="10">
        <v>114817700</v>
      </c>
    </row>
    <row r="193" spans="1:7" ht="18" x14ac:dyDescent="0.2">
      <c r="A193" s="5">
        <v>44166</v>
      </c>
      <c r="B193" s="6">
        <v>47.85</v>
      </c>
      <c r="C193" s="6">
        <v>48.32</v>
      </c>
      <c r="D193" s="6">
        <v>45.44</v>
      </c>
      <c r="E193" s="6">
        <v>47.93</v>
      </c>
      <c r="F193" s="6">
        <v>38.35</v>
      </c>
      <c r="G193" s="7">
        <v>115593800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4A599-C9BA-CA4C-849E-E1E66A5166A7}">
  <dimension ref="A1:R190"/>
  <sheetViews>
    <sheetView tabSelected="1" topLeftCell="A73" workbookViewId="0">
      <selection activeCell="H95" sqref="H95"/>
    </sheetView>
  </sheetViews>
  <sheetFormatPr baseColWidth="10" defaultRowHeight="16" x14ac:dyDescent="0.2"/>
  <cols>
    <col min="1" max="1" width="11.33203125" bestFit="1" customWidth="1"/>
    <col min="7" max="7" width="14.5" bestFit="1" customWidth="1"/>
    <col min="12" max="12" width="11.33203125" bestFit="1" customWidth="1"/>
  </cols>
  <sheetData>
    <row r="1" spans="1:15" x14ac:dyDescent="0.2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L1" s="4" t="s">
        <v>7</v>
      </c>
      <c r="M1" t="s">
        <v>17</v>
      </c>
      <c r="N1" t="s">
        <v>18</v>
      </c>
      <c r="O1" t="s">
        <v>19</v>
      </c>
    </row>
    <row r="2" spans="1:15" ht="18" x14ac:dyDescent="0.2">
      <c r="A2" s="5">
        <v>45962</v>
      </c>
      <c r="B2" s="6">
        <v>76.739999999999995</v>
      </c>
      <c r="C2" s="6">
        <v>81.709999999999994</v>
      </c>
      <c r="D2" s="6">
        <v>75.02</v>
      </c>
      <c r="E2" s="6">
        <v>78.16</v>
      </c>
      <c r="F2" s="6">
        <v>77.75</v>
      </c>
      <c r="G2" s="7">
        <v>8090900</v>
      </c>
      <c r="L2" s="5">
        <v>45962</v>
      </c>
      <c r="M2">
        <f t="shared" ref="M2:M33" si="0">(F2-F3)/F3</f>
        <v>1.0396361273554219E-2</v>
      </c>
      <c r="N2">
        <f t="shared" ref="N2:N33" si="1">(F66-F67)/F67</f>
        <v>-2.0905923344947702E-2</v>
      </c>
      <c r="O2">
        <f t="shared" ref="O2:O33" si="2">(F131-F132)/F132</f>
        <v>1.8726591760299227E-3</v>
      </c>
    </row>
    <row r="3" spans="1:15" ht="18" x14ac:dyDescent="0.2">
      <c r="A3" s="5">
        <v>45931</v>
      </c>
      <c r="B3" s="6">
        <v>86.47</v>
      </c>
      <c r="C3" s="6">
        <v>89.23</v>
      </c>
      <c r="D3" s="6">
        <v>68.61</v>
      </c>
      <c r="E3" s="6">
        <v>77.349999999999994</v>
      </c>
      <c r="F3" s="6">
        <v>76.95</v>
      </c>
      <c r="G3" s="7">
        <v>41861900</v>
      </c>
      <c r="L3" s="5">
        <v>45931</v>
      </c>
      <c r="M3">
        <f t="shared" si="0"/>
        <v>-0.1080329199026312</v>
      </c>
      <c r="N3">
        <f t="shared" si="1"/>
        <v>-7.8980210376181248E-2</v>
      </c>
      <c r="O3">
        <f t="shared" si="2"/>
        <v>-4.8975957257346457E-2</v>
      </c>
    </row>
    <row r="4" spans="1:15" ht="18" x14ac:dyDescent="0.2">
      <c r="A4" s="5">
        <v>45901</v>
      </c>
      <c r="B4" s="6">
        <v>87.87</v>
      </c>
      <c r="C4" s="6">
        <v>93.29</v>
      </c>
      <c r="D4" s="6">
        <v>84.87</v>
      </c>
      <c r="E4" s="6">
        <v>86.72</v>
      </c>
      <c r="F4" s="6">
        <v>86.27</v>
      </c>
      <c r="G4" s="7">
        <v>24006500</v>
      </c>
      <c r="L4" s="5">
        <v>45901</v>
      </c>
      <c r="M4">
        <f t="shared" si="0"/>
        <v>-2.717636445647283E-2</v>
      </c>
      <c r="N4">
        <f t="shared" si="1"/>
        <v>-1.6482553042258419E-2</v>
      </c>
      <c r="O4">
        <f t="shared" si="2"/>
        <v>4.4543429844104957E-4</v>
      </c>
    </row>
    <row r="5" spans="1:15" ht="18" x14ac:dyDescent="0.2">
      <c r="A5" s="5">
        <v>45870</v>
      </c>
      <c r="B5" s="6">
        <v>75.81</v>
      </c>
      <c r="C5" s="6">
        <v>89.99</v>
      </c>
      <c r="D5" s="6">
        <v>73.58</v>
      </c>
      <c r="E5" s="6">
        <v>89.55</v>
      </c>
      <c r="F5" s="6">
        <v>88.68</v>
      </c>
      <c r="G5" s="7">
        <v>20009100</v>
      </c>
      <c r="L5" s="5">
        <v>45870</v>
      </c>
      <c r="M5">
        <f t="shared" si="0"/>
        <v>0.15453716963936992</v>
      </c>
      <c r="N5">
        <f t="shared" si="1"/>
        <v>8.175265553869504E-2</v>
      </c>
      <c r="O5">
        <f t="shared" si="2"/>
        <v>3.5994462390401362E-2</v>
      </c>
    </row>
    <row r="6" spans="1:15" ht="18" x14ac:dyDescent="0.2">
      <c r="A6" s="5">
        <v>45839</v>
      </c>
      <c r="B6" s="6">
        <v>77.77</v>
      </c>
      <c r="C6" s="6">
        <v>86.28</v>
      </c>
      <c r="D6" s="6">
        <v>77.02</v>
      </c>
      <c r="E6" s="6">
        <v>77.56</v>
      </c>
      <c r="F6" s="6">
        <v>76.81</v>
      </c>
      <c r="G6" s="7">
        <v>25232200</v>
      </c>
      <c r="L6" s="5">
        <v>45839</v>
      </c>
      <c r="M6">
        <f t="shared" si="0"/>
        <v>-5.3095053095052651E-3</v>
      </c>
      <c r="N6">
        <f t="shared" si="1"/>
        <v>3.2510771641206353E-2</v>
      </c>
      <c r="O6">
        <f t="shared" si="2"/>
        <v>3.6842105263158044E-2</v>
      </c>
    </row>
    <row r="7" spans="1:15" ht="18" x14ac:dyDescent="0.2">
      <c r="A7" s="5">
        <v>45809</v>
      </c>
      <c r="B7" s="6">
        <v>71.930000000000007</v>
      </c>
      <c r="C7" s="6">
        <v>78.849999999999994</v>
      </c>
      <c r="D7" s="6">
        <v>70.260000000000005</v>
      </c>
      <c r="E7" s="6">
        <v>77.98</v>
      </c>
      <c r="F7" s="6">
        <v>77.22</v>
      </c>
      <c r="G7" s="7">
        <v>14434400</v>
      </c>
      <c r="L7" s="5">
        <v>45809</v>
      </c>
      <c r="M7">
        <f t="shared" si="0"/>
        <v>8.1967213114754009E-2</v>
      </c>
      <c r="N7">
        <f t="shared" si="1"/>
        <v>0.10615251299826703</v>
      </c>
      <c r="O7">
        <f t="shared" si="2"/>
        <v>6.632653061224475E-2</v>
      </c>
    </row>
    <row r="8" spans="1:15" ht="18" x14ac:dyDescent="0.2">
      <c r="A8" s="5">
        <v>45778</v>
      </c>
      <c r="B8" s="6">
        <v>69.819999999999993</v>
      </c>
      <c r="C8" s="6">
        <v>80.989999999999995</v>
      </c>
      <c r="D8" s="6">
        <v>69.33</v>
      </c>
      <c r="E8" s="6">
        <v>72.41</v>
      </c>
      <c r="F8" s="6">
        <v>71.37</v>
      </c>
      <c r="G8" s="7">
        <v>18234100</v>
      </c>
      <c r="L8" s="5">
        <v>45778</v>
      </c>
      <c r="M8">
        <f t="shared" si="0"/>
        <v>3.8713433270266495E-2</v>
      </c>
      <c r="N8">
        <f t="shared" si="1"/>
        <v>5.3159936116814931E-2</v>
      </c>
      <c r="O8">
        <f t="shared" si="2"/>
        <v>9.988776655443328E-2</v>
      </c>
    </row>
    <row r="9" spans="1:15" ht="18" x14ac:dyDescent="0.2">
      <c r="A9" s="5">
        <v>45748</v>
      </c>
      <c r="B9" s="6">
        <v>76.010000000000005</v>
      </c>
      <c r="C9" s="6">
        <v>77.73</v>
      </c>
      <c r="D9" s="6">
        <v>57.05</v>
      </c>
      <c r="E9" s="6">
        <v>69.709999999999994</v>
      </c>
      <c r="F9" s="6">
        <v>68.709999999999994</v>
      </c>
      <c r="G9" s="7">
        <v>34232800</v>
      </c>
      <c r="L9" s="5">
        <v>45748</v>
      </c>
      <c r="M9">
        <f t="shared" si="0"/>
        <v>-9.2577918647649304E-2</v>
      </c>
      <c r="N9">
        <f t="shared" si="1"/>
        <v>-9.7962543733278548E-2</v>
      </c>
      <c r="O9">
        <f t="shared" si="2"/>
        <v>-6.1611374407582846E-2</v>
      </c>
    </row>
    <row r="10" spans="1:15" ht="18" x14ac:dyDescent="0.2">
      <c r="A10" s="5">
        <v>45717</v>
      </c>
      <c r="B10" s="6">
        <v>86.73</v>
      </c>
      <c r="C10" s="6">
        <v>87.68</v>
      </c>
      <c r="D10" s="6">
        <v>71.58</v>
      </c>
      <c r="E10" s="6">
        <v>76.83</v>
      </c>
      <c r="F10" s="6">
        <v>75.72</v>
      </c>
      <c r="G10" s="7">
        <v>23343300</v>
      </c>
      <c r="L10" s="5">
        <v>45717</v>
      </c>
      <c r="M10">
        <f t="shared" si="0"/>
        <v>-0.11230949589683469</v>
      </c>
      <c r="N10">
        <f t="shared" si="1"/>
        <v>-7.0225794106391015E-2</v>
      </c>
      <c r="O10">
        <f t="shared" si="2"/>
        <v>-9.8290598290598316E-2</v>
      </c>
    </row>
    <row r="11" spans="1:15" ht="18" x14ac:dyDescent="0.2">
      <c r="A11" s="5">
        <v>45689</v>
      </c>
      <c r="B11" s="6">
        <v>85.01</v>
      </c>
      <c r="C11" s="6">
        <v>93.81</v>
      </c>
      <c r="D11" s="6">
        <v>83.95</v>
      </c>
      <c r="E11" s="6">
        <v>86.92</v>
      </c>
      <c r="F11" s="6">
        <v>85.3</v>
      </c>
      <c r="G11" s="7">
        <v>20062400</v>
      </c>
      <c r="L11" s="5">
        <v>45689</v>
      </c>
      <c r="M11">
        <f t="shared" si="0"/>
        <v>-1.0785109590629789E-2</v>
      </c>
      <c r="N11">
        <f t="shared" si="1"/>
        <v>-6.5951742627345933E-2</v>
      </c>
      <c r="O11">
        <f t="shared" si="2"/>
        <v>-1.6347501167678722E-2</v>
      </c>
    </row>
    <row r="12" spans="1:15" ht="18" x14ac:dyDescent="0.2">
      <c r="A12" s="5">
        <v>45658</v>
      </c>
      <c r="B12" s="6">
        <v>84.21</v>
      </c>
      <c r="C12" s="6">
        <v>94.4</v>
      </c>
      <c r="D12" s="6">
        <v>77.12</v>
      </c>
      <c r="E12" s="6">
        <v>87.87</v>
      </c>
      <c r="F12" s="6">
        <v>86.23</v>
      </c>
      <c r="G12" s="7">
        <v>26912000</v>
      </c>
      <c r="L12" s="5">
        <v>45658</v>
      </c>
      <c r="M12">
        <f t="shared" si="0"/>
        <v>5.1841912661624787E-2</v>
      </c>
      <c r="N12">
        <f t="shared" si="1"/>
        <v>6.6526877621044644E-2</v>
      </c>
      <c r="O12">
        <f t="shared" si="2"/>
        <v>9.5140664961636798E-2</v>
      </c>
    </row>
    <row r="13" spans="1:15" ht="18" x14ac:dyDescent="0.2">
      <c r="A13" s="5">
        <v>45627</v>
      </c>
      <c r="B13" s="6">
        <v>94.2</v>
      </c>
      <c r="C13" s="6">
        <v>95</v>
      </c>
      <c r="D13" s="6">
        <v>82.01</v>
      </c>
      <c r="E13" s="6">
        <v>83.54</v>
      </c>
      <c r="F13" s="6">
        <v>81.98</v>
      </c>
      <c r="G13" s="7">
        <v>19616500</v>
      </c>
      <c r="L13" s="5">
        <v>45627</v>
      </c>
      <c r="M13">
        <f t="shared" si="0"/>
        <v>-0.10384783559247923</v>
      </c>
      <c r="N13">
        <f t="shared" si="1"/>
        <v>-9.7229392531405931E-2</v>
      </c>
      <c r="O13">
        <f t="shared" si="2"/>
        <v>-4.6806435884934217E-2</v>
      </c>
    </row>
    <row r="14" spans="1:15" ht="18" x14ac:dyDescent="0.2">
      <c r="A14" s="5">
        <v>45597</v>
      </c>
      <c r="B14" s="6">
        <v>84.19</v>
      </c>
      <c r="C14" s="6">
        <v>98.1</v>
      </c>
      <c r="D14" s="6">
        <v>80.88</v>
      </c>
      <c r="E14" s="6">
        <v>93.61</v>
      </c>
      <c r="F14" s="6">
        <v>91.48</v>
      </c>
      <c r="G14" s="7">
        <v>20901100</v>
      </c>
      <c r="L14" s="5">
        <v>45597</v>
      </c>
      <c r="M14">
        <f t="shared" si="0"/>
        <v>0.12493851451057565</v>
      </c>
      <c r="N14">
        <f t="shared" si="1"/>
        <v>0.16243248649729941</v>
      </c>
      <c r="O14">
        <f t="shared" si="2"/>
        <v>0.21938168846611183</v>
      </c>
    </row>
    <row r="15" spans="1:15" ht="18" x14ac:dyDescent="0.2">
      <c r="A15" s="5">
        <v>45566</v>
      </c>
      <c r="B15" s="6">
        <v>85.03</v>
      </c>
      <c r="C15" s="6">
        <v>94.28</v>
      </c>
      <c r="D15" s="6">
        <v>80.28</v>
      </c>
      <c r="E15" s="6">
        <v>83.21</v>
      </c>
      <c r="F15" s="6">
        <v>81.319999999999993</v>
      </c>
      <c r="G15" s="7">
        <v>31694600</v>
      </c>
      <c r="L15" s="5">
        <v>45566</v>
      </c>
      <c r="M15">
        <f t="shared" si="0"/>
        <v>-3.7860861334595396E-2</v>
      </c>
      <c r="N15">
        <f t="shared" si="1"/>
        <v>0.10255844728716361</v>
      </c>
      <c r="O15">
        <f t="shared" si="2"/>
        <v>0.12659075686537177</v>
      </c>
    </row>
    <row r="16" spans="1:15" ht="18" x14ac:dyDescent="0.2">
      <c r="A16" s="5">
        <v>45536</v>
      </c>
      <c r="B16" s="6">
        <v>80.489999999999995</v>
      </c>
      <c r="C16" s="6">
        <v>88.92</v>
      </c>
      <c r="D16" s="6">
        <v>77.260000000000005</v>
      </c>
      <c r="E16" s="6">
        <v>86.49</v>
      </c>
      <c r="F16" s="6">
        <v>84.52</v>
      </c>
      <c r="G16" s="7">
        <v>44643200</v>
      </c>
      <c r="L16" s="5">
        <v>45536</v>
      </c>
      <c r="M16">
        <f t="shared" si="0"/>
        <v>6.3947633434038254E-2</v>
      </c>
      <c r="N16">
        <f t="shared" si="1"/>
        <v>-3.8388123011664797E-2</v>
      </c>
      <c r="O16">
        <f t="shared" si="2"/>
        <v>-6.3949843260188058E-2</v>
      </c>
    </row>
    <row r="17" spans="1:15" ht="18" x14ac:dyDescent="0.2">
      <c r="A17" s="5">
        <v>45505</v>
      </c>
      <c r="B17" s="6">
        <v>80.069999999999993</v>
      </c>
      <c r="C17" s="6">
        <v>83.23</v>
      </c>
      <c r="D17" s="6">
        <v>67.08</v>
      </c>
      <c r="E17" s="6">
        <v>81.680000000000007</v>
      </c>
      <c r="F17" s="6">
        <v>79.44</v>
      </c>
      <c r="G17" s="7">
        <v>20530200</v>
      </c>
      <c r="L17" s="5">
        <v>45505</v>
      </c>
      <c r="M17">
        <f t="shared" si="0"/>
        <v>1.5207667731629364E-2</v>
      </c>
      <c r="N17">
        <f t="shared" si="1"/>
        <v>-4.0886899918633E-2</v>
      </c>
      <c r="O17">
        <f t="shared" si="2"/>
        <v>-8.0845771144277996E-3</v>
      </c>
    </row>
    <row r="18" spans="1:15" ht="18" x14ac:dyDescent="0.2">
      <c r="A18" s="5">
        <v>45474</v>
      </c>
      <c r="B18" s="6">
        <v>62.45</v>
      </c>
      <c r="C18" s="6">
        <v>82.48</v>
      </c>
      <c r="D18" s="6">
        <v>60.26</v>
      </c>
      <c r="E18" s="6">
        <v>80.459999999999994</v>
      </c>
      <c r="F18" s="6">
        <v>78.25</v>
      </c>
      <c r="G18" s="7">
        <v>29315800</v>
      </c>
      <c r="L18" s="5">
        <v>45474</v>
      </c>
      <c r="M18">
        <f t="shared" si="0"/>
        <v>0.28068739770867429</v>
      </c>
      <c r="N18">
        <f t="shared" si="1"/>
        <v>0.19146873485215704</v>
      </c>
      <c r="O18">
        <f t="shared" si="2"/>
        <v>7.1999999999999884E-2</v>
      </c>
    </row>
    <row r="19" spans="1:15" ht="18" x14ac:dyDescent="0.2">
      <c r="A19" s="5">
        <v>45444</v>
      </c>
      <c r="B19" s="6">
        <v>63.47</v>
      </c>
      <c r="C19" s="6">
        <v>63.5</v>
      </c>
      <c r="D19" s="6">
        <v>56.7</v>
      </c>
      <c r="E19" s="6">
        <v>62.82</v>
      </c>
      <c r="F19" s="6">
        <v>61.1</v>
      </c>
      <c r="G19" s="7">
        <v>16743000</v>
      </c>
      <c r="L19" s="5">
        <v>45444</v>
      </c>
      <c r="M19">
        <f t="shared" si="0"/>
        <v>2.4610336341263097E-3</v>
      </c>
      <c r="N19">
        <f t="shared" si="1"/>
        <v>1.3261296660117858E-2</v>
      </c>
      <c r="O19">
        <f t="shared" si="2"/>
        <v>-4.6449900464499193E-3</v>
      </c>
    </row>
    <row r="20" spans="1:15" ht="18" x14ac:dyDescent="0.2">
      <c r="A20" s="5">
        <v>45413</v>
      </c>
      <c r="B20" s="6">
        <v>57.54</v>
      </c>
      <c r="C20" s="6">
        <v>65.790000000000006</v>
      </c>
      <c r="D20" s="6">
        <v>56.77</v>
      </c>
      <c r="E20" s="6">
        <v>63.03</v>
      </c>
      <c r="F20" s="6">
        <v>60.95</v>
      </c>
      <c r="G20" s="7">
        <v>16461300</v>
      </c>
      <c r="L20" s="5">
        <v>45413</v>
      </c>
      <c r="M20">
        <f t="shared" si="0"/>
        <v>0.1091901728844404</v>
      </c>
      <c r="N20">
        <f t="shared" si="1"/>
        <v>5.9313215400624383E-2</v>
      </c>
      <c r="O20">
        <f t="shared" si="2"/>
        <v>6.2015503875969047E-2</v>
      </c>
    </row>
    <row r="21" spans="1:15" ht="18" x14ac:dyDescent="0.2">
      <c r="A21" s="5">
        <v>45383</v>
      </c>
      <c r="B21" s="6">
        <v>64.12</v>
      </c>
      <c r="C21" s="6">
        <v>64.2</v>
      </c>
      <c r="D21" s="6">
        <v>53.75</v>
      </c>
      <c r="E21" s="6">
        <v>56.83</v>
      </c>
      <c r="F21" s="6">
        <v>54.95</v>
      </c>
      <c r="G21" s="7">
        <v>22938900</v>
      </c>
      <c r="L21" s="5">
        <v>45383</v>
      </c>
      <c r="M21">
        <f t="shared" si="0"/>
        <v>-0.11470919929112289</v>
      </c>
      <c r="N21">
        <f t="shared" si="1"/>
        <v>-6.0376436079198216E-2</v>
      </c>
      <c r="O21">
        <f t="shared" si="2"/>
        <v>-2.137931034482762E-2</v>
      </c>
    </row>
    <row r="22" spans="1:15" ht="18" x14ac:dyDescent="0.2">
      <c r="A22" s="5">
        <v>45352</v>
      </c>
      <c r="B22" s="6">
        <v>57.04</v>
      </c>
      <c r="C22" s="6">
        <v>64.650000000000006</v>
      </c>
      <c r="D22" s="6">
        <v>54.55</v>
      </c>
      <c r="E22" s="6">
        <v>64.19</v>
      </c>
      <c r="F22" s="6">
        <v>62.07</v>
      </c>
      <c r="G22" s="7">
        <v>29214000</v>
      </c>
      <c r="L22" s="5">
        <v>45352</v>
      </c>
      <c r="M22">
        <f t="shared" si="0"/>
        <v>0.11878154289834181</v>
      </c>
      <c r="N22">
        <f t="shared" si="1"/>
        <v>0.11228928765633484</v>
      </c>
      <c r="O22">
        <f t="shared" si="2"/>
        <v>9.1867469879518118E-2</v>
      </c>
    </row>
    <row r="23" spans="1:15" ht="18" x14ac:dyDescent="0.2">
      <c r="A23" s="5">
        <v>45323</v>
      </c>
      <c r="B23" s="6">
        <v>64.62</v>
      </c>
      <c r="C23" s="6">
        <v>65.05</v>
      </c>
      <c r="D23" s="6">
        <v>55.03</v>
      </c>
      <c r="E23" s="6">
        <v>57.73</v>
      </c>
      <c r="F23" s="6">
        <v>55.48</v>
      </c>
      <c r="G23" s="7">
        <v>35969000</v>
      </c>
      <c r="L23" s="5">
        <v>45323</v>
      </c>
      <c r="M23">
        <f t="shared" si="0"/>
        <v>-9.7445908573287818E-2</v>
      </c>
      <c r="N23">
        <f t="shared" si="1"/>
        <v>-5.9094397544128985E-2</v>
      </c>
      <c r="O23">
        <f t="shared" si="2"/>
        <v>-9.6942580164057247E-3</v>
      </c>
    </row>
    <row r="24" spans="1:15" ht="18" x14ac:dyDescent="0.2">
      <c r="A24" s="5">
        <v>45292</v>
      </c>
      <c r="B24" s="6">
        <v>65.099999999999994</v>
      </c>
      <c r="C24" s="6">
        <v>70.23</v>
      </c>
      <c r="D24" s="6">
        <v>60.54</v>
      </c>
      <c r="E24" s="6">
        <v>63.96</v>
      </c>
      <c r="F24" s="6">
        <v>61.47</v>
      </c>
      <c r="G24" s="7">
        <v>29918600</v>
      </c>
      <c r="L24" s="5">
        <v>45292</v>
      </c>
      <c r="M24">
        <f t="shared" si="0"/>
        <v>-2.768111357165454E-2</v>
      </c>
      <c r="N24">
        <f t="shared" si="1"/>
        <v>-4.4954800879550359E-2</v>
      </c>
      <c r="O24">
        <f t="shared" si="2"/>
        <v>1.6679302501895425E-2</v>
      </c>
    </row>
    <row r="25" spans="1:15" ht="18" x14ac:dyDescent="0.2">
      <c r="A25" s="5">
        <v>45261</v>
      </c>
      <c r="B25" s="6">
        <v>51.22</v>
      </c>
      <c r="C25" s="6">
        <v>67.599999999999994</v>
      </c>
      <c r="D25" s="6">
        <v>50.63</v>
      </c>
      <c r="E25" s="6">
        <v>65.790000000000006</v>
      </c>
      <c r="F25" s="6">
        <v>63.22</v>
      </c>
      <c r="G25" s="7">
        <v>30684500</v>
      </c>
      <c r="L25" s="5">
        <v>45261</v>
      </c>
      <c r="M25">
        <f t="shared" si="0"/>
        <v>0.29416581371545542</v>
      </c>
      <c r="N25">
        <f t="shared" si="1"/>
        <v>0.24634591961023128</v>
      </c>
      <c r="O25">
        <f t="shared" si="2"/>
        <v>0.1065436241610738</v>
      </c>
    </row>
    <row r="26" spans="1:15" ht="18" x14ac:dyDescent="0.2">
      <c r="A26" s="5">
        <v>45231</v>
      </c>
      <c r="B26" s="6">
        <v>41</v>
      </c>
      <c r="C26" s="6">
        <v>52.16</v>
      </c>
      <c r="D26" s="6">
        <v>40.15</v>
      </c>
      <c r="E26" s="6">
        <v>51.22</v>
      </c>
      <c r="F26" s="6">
        <v>48.85</v>
      </c>
      <c r="G26" s="7">
        <v>27821500</v>
      </c>
      <c r="L26" s="5">
        <v>45231</v>
      </c>
      <c r="M26">
        <f t="shared" si="0"/>
        <v>0.24617346938775506</v>
      </c>
      <c r="N26">
        <f t="shared" si="1"/>
        <v>0.15511783327470993</v>
      </c>
      <c r="O26">
        <f t="shared" si="2"/>
        <v>0.18962075848303397</v>
      </c>
    </row>
    <row r="27" spans="1:15" ht="18" x14ac:dyDescent="0.2">
      <c r="A27" s="5">
        <v>45200</v>
      </c>
      <c r="B27" s="6">
        <v>45.73</v>
      </c>
      <c r="C27" s="6">
        <v>48.41</v>
      </c>
      <c r="D27" s="6">
        <v>38.81</v>
      </c>
      <c r="E27" s="6">
        <v>41.1</v>
      </c>
      <c r="F27" s="6">
        <v>39.200000000000003</v>
      </c>
      <c r="G27" s="7">
        <v>42262400</v>
      </c>
      <c r="L27" s="5">
        <v>45200</v>
      </c>
      <c r="M27">
        <f t="shared" si="0"/>
        <v>-0.10583941605839417</v>
      </c>
      <c r="N27">
        <f t="shared" si="1"/>
        <v>-0.11598258706467653</v>
      </c>
      <c r="O27">
        <f t="shared" si="2"/>
        <v>-1.0858835143139308E-2</v>
      </c>
    </row>
    <row r="28" spans="1:15" ht="18" x14ac:dyDescent="0.2">
      <c r="A28" s="5">
        <v>45170</v>
      </c>
      <c r="B28" s="6">
        <v>50.78</v>
      </c>
      <c r="C28" s="6">
        <v>51.4</v>
      </c>
      <c r="D28" s="6">
        <v>43.36</v>
      </c>
      <c r="E28" s="6">
        <v>45.97</v>
      </c>
      <c r="F28" s="6">
        <v>43.84</v>
      </c>
      <c r="G28" s="7">
        <v>29559800</v>
      </c>
      <c r="L28" s="5">
        <v>45170</v>
      </c>
      <c r="M28">
        <f t="shared" si="0"/>
        <v>-7.4324324324324245E-2</v>
      </c>
      <c r="N28">
        <f t="shared" si="1"/>
        <v>-5.5658627087200622E-3</v>
      </c>
      <c r="O28">
        <f t="shared" si="2"/>
        <v>-0.12218370883882136</v>
      </c>
    </row>
    <row r="29" spans="1:15" ht="18" x14ac:dyDescent="0.2">
      <c r="A29" s="5">
        <v>45139</v>
      </c>
      <c r="B29" s="6">
        <v>51.5</v>
      </c>
      <c r="C29" s="6">
        <v>53.87</v>
      </c>
      <c r="D29" s="6">
        <v>46.15</v>
      </c>
      <c r="E29" s="6">
        <v>50.01</v>
      </c>
      <c r="F29" s="6">
        <v>47.36</v>
      </c>
      <c r="G29" s="7">
        <v>36151700</v>
      </c>
      <c r="L29" s="5">
        <v>45139</v>
      </c>
      <c r="M29">
        <f t="shared" si="0"/>
        <v>-3.7398373983739908E-2</v>
      </c>
      <c r="N29">
        <f t="shared" si="1"/>
        <v>-7.2022955523672827E-2</v>
      </c>
      <c r="O29">
        <f t="shared" si="2"/>
        <v>-7.9010375099760596E-2</v>
      </c>
    </row>
    <row r="30" spans="1:15" ht="18" x14ac:dyDescent="0.2">
      <c r="A30" s="5">
        <v>45108</v>
      </c>
      <c r="B30" s="6">
        <v>36.950000000000003</v>
      </c>
      <c r="C30" s="6">
        <v>53.66</v>
      </c>
      <c r="D30" s="6">
        <v>35.67</v>
      </c>
      <c r="E30" s="6">
        <v>51.95</v>
      </c>
      <c r="F30" s="6">
        <v>49.2</v>
      </c>
      <c r="G30" s="7">
        <v>64549600</v>
      </c>
      <c r="L30" s="5">
        <v>45108</v>
      </c>
      <c r="M30">
        <f t="shared" si="0"/>
        <v>0.42443543717429077</v>
      </c>
      <c r="N30">
        <f t="shared" si="1"/>
        <v>0.4241928892521456</v>
      </c>
      <c r="O30">
        <f t="shared" si="2"/>
        <v>0.22482893450635374</v>
      </c>
    </row>
    <row r="31" spans="1:15" ht="18" x14ac:dyDescent="0.2">
      <c r="A31" s="5">
        <v>45078</v>
      </c>
      <c r="B31" s="6">
        <v>34.39</v>
      </c>
      <c r="C31" s="6">
        <v>41.88</v>
      </c>
      <c r="D31" s="6">
        <v>33.49</v>
      </c>
      <c r="E31" s="6">
        <v>36.47</v>
      </c>
      <c r="F31" s="6">
        <v>34.54</v>
      </c>
      <c r="G31" s="7">
        <v>64739000</v>
      </c>
      <c r="L31" s="5">
        <v>45078</v>
      </c>
      <c r="M31">
        <f t="shared" si="0"/>
        <v>9.0277777777777762E-2</v>
      </c>
      <c r="N31">
        <f t="shared" si="1"/>
        <v>1.6373311502250981E-3</v>
      </c>
      <c r="O31">
        <f t="shared" si="2"/>
        <v>9.2948717948718063E-2</v>
      </c>
    </row>
    <row r="32" spans="1:15" ht="18" x14ac:dyDescent="0.2">
      <c r="A32" s="5">
        <v>45047</v>
      </c>
      <c r="B32" s="6">
        <v>37.549999999999997</v>
      </c>
      <c r="C32" s="6">
        <v>39.28</v>
      </c>
      <c r="D32" s="6">
        <v>11.35</v>
      </c>
      <c r="E32" s="6">
        <v>33.9</v>
      </c>
      <c r="F32" s="6">
        <v>31.68</v>
      </c>
      <c r="G32" s="7">
        <v>269192000</v>
      </c>
      <c r="L32" s="5">
        <v>45047</v>
      </c>
      <c r="M32">
        <f t="shared" si="0"/>
        <v>-8.6768521187662095E-2</v>
      </c>
      <c r="N32">
        <f t="shared" si="1"/>
        <v>-2.0449077786688113E-2</v>
      </c>
      <c r="O32">
        <f t="shared" si="2"/>
        <v>-0.41242937853107348</v>
      </c>
    </row>
    <row r="33" spans="1:15" ht="18" x14ac:dyDescent="0.2">
      <c r="A33" s="5">
        <v>45017</v>
      </c>
      <c r="B33" s="6">
        <v>35.49</v>
      </c>
      <c r="C33" s="6">
        <v>41.51</v>
      </c>
      <c r="D33" s="6">
        <v>27.02</v>
      </c>
      <c r="E33" s="6">
        <v>37.119999999999997</v>
      </c>
      <c r="F33" s="6">
        <v>34.69</v>
      </c>
      <c r="G33" s="7">
        <v>113439400</v>
      </c>
      <c r="L33" s="5">
        <v>45017</v>
      </c>
      <c r="M33">
        <f t="shared" si="0"/>
        <v>4.4250451535219712E-2</v>
      </c>
      <c r="N33">
        <f t="shared" si="1"/>
        <v>-6.9402985074626847E-2</v>
      </c>
      <c r="O33">
        <f t="shared" si="2"/>
        <v>-3.1289111389236988E-3</v>
      </c>
    </row>
    <row r="34" spans="1:15" ht="18" x14ac:dyDescent="0.2">
      <c r="A34" s="5">
        <v>44986</v>
      </c>
      <c r="B34" s="6">
        <v>73.45</v>
      </c>
      <c r="C34" s="6">
        <v>76.900000000000006</v>
      </c>
      <c r="D34" s="6">
        <v>7.46</v>
      </c>
      <c r="E34" s="6">
        <v>35.54</v>
      </c>
      <c r="F34" s="6">
        <v>33.22</v>
      </c>
      <c r="G34" s="7">
        <v>344007000</v>
      </c>
      <c r="L34" s="5">
        <v>44986</v>
      </c>
      <c r="M34">
        <f t="shared" ref="M34:M60" si="3">(F34-F35)/F35</f>
        <v>-0.51896901245293947</v>
      </c>
      <c r="N34">
        <f t="shared" ref="N34:N60" si="4">(F98-F99)/F99</f>
        <v>-0.40404714253947072</v>
      </c>
      <c r="O34">
        <f t="shared" ref="O34:O60" si="5">(F163-F164)/F164</f>
        <v>-0.28212039532794253</v>
      </c>
    </row>
    <row r="35" spans="1:15" ht="18" x14ac:dyDescent="0.2">
      <c r="A35" s="5">
        <v>44958</v>
      </c>
      <c r="B35" s="6">
        <v>74.849999999999994</v>
      </c>
      <c r="C35" s="6">
        <v>81.17</v>
      </c>
      <c r="D35" s="6">
        <v>71.400000000000006</v>
      </c>
      <c r="E35" s="6">
        <v>74.239999999999995</v>
      </c>
      <c r="F35" s="6">
        <v>69.06</v>
      </c>
      <c r="G35" s="7">
        <v>16645300</v>
      </c>
      <c r="L35" s="5">
        <v>44958</v>
      </c>
      <c r="M35">
        <f t="shared" si="3"/>
        <v>-1.4976465554129185E-2</v>
      </c>
      <c r="N35">
        <f t="shared" si="4"/>
        <v>-4.7850942197755625E-2</v>
      </c>
      <c r="O35">
        <f t="shared" si="5"/>
        <v>1.3495276653171901E-3</v>
      </c>
    </row>
    <row r="36" spans="1:15" ht="18" x14ac:dyDescent="0.2">
      <c r="A36" s="5">
        <v>44927</v>
      </c>
      <c r="B36" s="6">
        <v>59.87</v>
      </c>
      <c r="C36" s="6">
        <v>75.540000000000006</v>
      </c>
      <c r="D36" s="6">
        <v>58.35</v>
      </c>
      <c r="E36" s="6">
        <v>75.37</v>
      </c>
      <c r="F36" s="6">
        <v>70.11</v>
      </c>
      <c r="G36" s="7">
        <v>20053700</v>
      </c>
      <c r="L36" s="5">
        <v>44927</v>
      </c>
      <c r="M36">
        <f t="shared" si="3"/>
        <v>0.26552346570397112</v>
      </c>
      <c r="N36">
        <f t="shared" si="4"/>
        <v>8.1520494618731287E-2</v>
      </c>
      <c r="O36">
        <f t="shared" si="5"/>
        <v>1.5996343692870268E-2</v>
      </c>
    </row>
    <row r="37" spans="1:15" ht="18" x14ac:dyDescent="0.2">
      <c r="A37" s="5">
        <v>44896</v>
      </c>
      <c r="B37" s="6">
        <v>68.569999999999993</v>
      </c>
      <c r="C37" s="6">
        <v>69.680000000000007</v>
      </c>
      <c r="D37" s="6">
        <v>55.81</v>
      </c>
      <c r="E37" s="6">
        <v>59.56</v>
      </c>
      <c r="F37" s="6">
        <v>55.4</v>
      </c>
      <c r="G37" s="7">
        <v>20406400</v>
      </c>
      <c r="L37" s="5">
        <v>44896</v>
      </c>
      <c r="M37">
        <f t="shared" si="3"/>
        <v>-0.12673392181588902</v>
      </c>
      <c r="N37">
        <f t="shared" si="4"/>
        <v>-4.3583004818221527E-2</v>
      </c>
      <c r="O37">
        <f t="shared" si="5"/>
        <v>-1.4414414414414429E-2</v>
      </c>
    </row>
    <row r="38" spans="1:15" ht="18" x14ac:dyDescent="0.2">
      <c r="A38" s="5">
        <v>44866</v>
      </c>
      <c r="B38" s="6">
        <v>68.09</v>
      </c>
      <c r="C38" s="6">
        <v>78.14</v>
      </c>
      <c r="D38" s="6">
        <v>62.84</v>
      </c>
      <c r="E38" s="6">
        <v>68.540000000000006</v>
      </c>
      <c r="F38" s="6">
        <v>63.44</v>
      </c>
      <c r="G38" s="7">
        <v>14758800</v>
      </c>
      <c r="L38" s="5">
        <v>44866</v>
      </c>
      <c r="M38">
        <f t="shared" si="3"/>
        <v>2.0427859096026957E-2</v>
      </c>
      <c r="N38">
        <f t="shared" si="4"/>
        <v>-2.4033209525891747E-3</v>
      </c>
      <c r="O38">
        <f t="shared" si="5"/>
        <v>1.416171767930556E-2</v>
      </c>
    </row>
    <row r="39" spans="1:15" ht="18" x14ac:dyDescent="0.2">
      <c r="A39" s="5">
        <v>44835</v>
      </c>
      <c r="B39" s="6">
        <v>66.83</v>
      </c>
      <c r="C39" s="6">
        <v>71.900000000000006</v>
      </c>
      <c r="D39" s="6">
        <v>54.86</v>
      </c>
      <c r="E39" s="6">
        <v>67.17</v>
      </c>
      <c r="F39" s="6">
        <v>62.17</v>
      </c>
      <c r="G39" s="7">
        <v>23454800</v>
      </c>
      <c r="L39" s="5">
        <v>44835</v>
      </c>
      <c r="M39">
        <f t="shared" si="3"/>
        <v>2.1692686935086282E-2</v>
      </c>
      <c r="N39">
        <f t="shared" si="4"/>
        <v>2.1195894689870657E-2</v>
      </c>
      <c r="O39">
        <f t="shared" si="5"/>
        <v>7.7263779527559071E-2</v>
      </c>
    </row>
    <row r="40" spans="1:15" ht="18" x14ac:dyDescent="0.2">
      <c r="A40" s="5">
        <v>44805</v>
      </c>
      <c r="B40" s="6">
        <v>76.319999999999993</v>
      </c>
      <c r="C40" s="6">
        <v>81.010000000000005</v>
      </c>
      <c r="D40" s="6">
        <v>64.709999999999994</v>
      </c>
      <c r="E40" s="6">
        <v>65.739999999999995</v>
      </c>
      <c r="F40" s="6">
        <v>60.85</v>
      </c>
      <c r="G40" s="7">
        <v>16010700</v>
      </c>
      <c r="L40" s="5">
        <v>44805</v>
      </c>
      <c r="M40">
        <f t="shared" si="3"/>
        <v>-0.13932107496463933</v>
      </c>
      <c r="N40">
        <f t="shared" si="4"/>
        <v>-6.9352159468438465E-2</v>
      </c>
      <c r="O40">
        <f t="shared" si="5"/>
        <v>1.2456402590931739E-2</v>
      </c>
    </row>
    <row r="41" spans="1:15" ht="18" x14ac:dyDescent="0.2">
      <c r="A41" s="5">
        <v>44774</v>
      </c>
      <c r="B41" s="6">
        <v>75.930000000000007</v>
      </c>
      <c r="C41" s="6">
        <v>86.87</v>
      </c>
      <c r="D41" s="6">
        <v>74.06</v>
      </c>
      <c r="E41" s="6">
        <v>76.72</v>
      </c>
      <c r="F41" s="6">
        <v>70.7</v>
      </c>
      <c r="G41" s="7">
        <v>10674700</v>
      </c>
      <c r="L41" s="5">
        <v>44774</v>
      </c>
      <c r="M41">
        <f t="shared" si="3"/>
        <v>4.4040346640148069E-3</v>
      </c>
      <c r="N41">
        <f t="shared" si="4"/>
        <v>8.7976539589441679E-3</v>
      </c>
      <c r="O41">
        <f t="shared" si="5"/>
        <v>1.1592741935483892E-2</v>
      </c>
    </row>
    <row r="42" spans="1:15" ht="18" x14ac:dyDescent="0.2">
      <c r="A42" s="5">
        <v>44743</v>
      </c>
      <c r="B42" s="6">
        <v>70</v>
      </c>
      <c r="C42" s="6">
        <v>79.67</v>
      </c>
      <c r="D42" s="6">
        <v>68.41</v>
      </c>
      <c r="E42" s="6">
        <v>76.38</v>
      </c>
      <c r="F42" s="6">
        <v>70.39</v>
      </c>
      <c r="G42" s="7">
        <v>12881600</v>
      </c>
      <c r="L42" s="5">
        <v>44743</v>
      </c>
      <c r="M42">
        <f t="shared" si="3"/>
        <v>8.1924377497694406E-2</v>
      </c>
      <c r="N42">
        <f t="shared" si="4"/>
        <v>7.1845532105972221E-2</v>
      </c>
      <c r="O42">
        <f t="shared" si="5"/>
        <v>2.9579657498702661E-2</v>
      </c>
    </row>
    <row r="43" spans="1:15" ht="18" x14ac:dyDescent="0.2">
      <c r="A43" s="5">
        <v>44713</v>
      </c>
      <c r="B43" s="6">
        <v>81.790000000000006</v>
      </c>
      <c r="C43" s="6">
        <v>83.22</v>
      </c>
      <c r="D43" s="6">
        <v>68.42</v>
      </c>
      <c r="E43" s="6">
        <v>70.599999999999994</v>
      </c>
      <c r="F43" s="6">
        <v>65.06</v>
      </c>
      <c r="G43" s="7">
        <v>15172000</v>
      </c>
      <c r="L43" s="5">
        <v>44713</v>
      </c>
      <c r="M43">
        <f t="shared" si="3"/>
        <v>-0.12823261423020224</v>
      </c>
      <c r="N43">
        <f t="shared" si="4"/>
        <v>-0.10147266491829737</v>
      </c>
      <c r="O43">
        <f t="shared" si="5"/>
        <v>-4.2722305017386955E-2</v>
      </c>
    </row>
    <row r="44" spans="1:15" ht="18" x14ac:dyDescent="0.2">
      <c r="A44" s="5">
        <v>44682</v>
      </c>
      <c r="B44" s="6">
        <v>78.31</v>
      </c>
      <c r="C44" s="6">
        <v>83.39</v>
      </c>
      <c r="D44" s="6">
        <v>71.680000000000007</v>
      </c>
      <c r="E44" s="6">
        <v>81.37</v>
      </c>
      <c r="F44" s="6">
        <v>74.63</v>
      </c>
      <c r="G44" s="7">
        <v>13764100</v>
      </c>
      <c r="L44" s="5">
        <v>44682</v>
      </c>
      <c r="M44">
        <f t="shared" si="3"/>
        <v>6.9197707736389669E-2</v>
      </c>
      <c r="N44">
        <f t="shared" si="4"/>
        <v>9.3667277540216021E-3</v>
      </c>
      <c r="O44">
        <f t="shared" si="5"/>
        <v>2.0273694880891969E-2</v>
      </c>
    </row>
    <row r="45" spans="1:15" ht="18" x14ac:dyDescent="0.2">
      <c r="A45" s="5">
        <v>44652</v>
      </c>
      <c r="B45" s="6">
        <v>84.14</v>
      </c>
      <c r="C45" s="6">
        <v>84.76</v>
      </c>
      <c r="D45" s="6">
        <v>73.31</v>
      </c>
      <c r="E45" s="6">
        <v>76.11</v>
      </c>
      <c r="F45" s="6">
        <v>69.8</v>
      </c>
      <c r="G45" s="7">
        <v>21129700</v>
      </c>
      <c r="L45" s="5">
        <v>44652</v>
      </c>
      <c r="M45">
        <f t="shared" si="3"/>
        <v>-8.1095313322801441E-2</v>
      </c>
      <c r="N45">
        <f t="shared" si="4"/>
        <v>-0.1379673512374934</v>
      </c>
      <c r="O45">
        <f t="shared" si="5"/>
        <v>-4.1302235179786102E-2</v>
      </c>
    </row>
    <row r="46" spans="1:15" ht="18" x14ac:dyDescent="0.2">
      <c r="A46" s="5">
        <v>44621</v>
      </c>
      <c r="B46" s="6">
        <v>92.21</v>
      </c>
      <c r="C46" s="6">
        <v>93.49</v>
      </c>
      <c r="D46" s="6">
        <v>76.16</v>
      </c>
      <c r="E46" s="6">
        <v>82.82</v>
      </c>
      <c r="F46" s="6">
        <v>75.959999999999994</v>
      </c>
      <c r="G46" s="7">
        <v>23163600</v>
      </c>
      <c r="L46" s="5">
        <v>44621</v>
      </c>
      <c r="M46">
        <f t="shared" si="3"/>
        <v>-0.11323838431006308</v>
      </c>
      <c r="N46">
        <f t="shared" si="4"/>
        <v>-7.0484581497797363E-2</v>
      </c>
      <c r="O46">
        <f t="shared" si="5"/>
        <v>4.8614487117151241E-4</v>
      </c>
    </row>
    <row r="47" spans="1:15" ht="18" x14ac:dyDescent="0.2">
      <c r="A47" s="5">
        <v>44593</v>
      </c>
      <c r="B47" s="6">
        <v>99.97</v>
      </c>
      <c r="C47" s="6">
        <v>102.97</v>
      </c>
      <c r="D47" s="6">
        <v>84.71</v>
      </c>
      <c r="E47" s="6">
        <v>93.74</v>
      </c>
      <c r="F47" s="6">
        <v>85.66</v>
      </c>
      <c r="G47" s="7">
        <v>17723300</v>
      </c>
      <c r="L47" s="5">
        <v>44593</v>
      </c>
      <c r="M47">
        <f t="shared" si="3"/>
        <v>-5.4942630185348673E-2</v>
      </c>
      <c r="N47">
        <f t="shared" si="4"/>
        <v>4.5190995907230531E-2</v>
      </c>
      <c r="O47">
        <f t="shared" si="5"/>
        <v>0.3722481654436291</v>
      </c>
    </row>
    <row r="48" spans="1:15" ht="18" x14ac:dyDescent="0.2">
      <c r="A48" s="5">
        <v>44562</v>
      </c>
      <c r="B48" s="6">
        <v>108.26</v>
      </c>
      <c r="C48" s="6">
        <v>124.93</v>
      </c>
      <c r="D48" s="6">
        <v>93.42</v>
      </c>
      <c r="E48" s="6">
        <v>99.19</v>
      </c>
      <c r="F48" s="6">
        <v>90.64</v>
      </c>
      <c r="G48" s="7">
        <v>21255200</v>
      </c>
      <c r="L48" s="5">
        <v>44562</v>
      </c>
      <c r="M48">
        <f t="shared" si="3"/>
        <v>-7.8674527342955838E-2</v>
      </c>
      <c r="N48">
        <f t="shared" si="4"/>
        <v>7.379600805713242E-2</v>
      </c>
      <c r="O48">
        <f t="shared" si="5"/>
        <v>5.7122708039492279E-2</v>
      </c>
    </row>
    <row r="49" spans="1:15" ht="18" x14ac:dyDescent="0.2">
      <c r="A49" s="5">
        <v>44531</v>
      </c>
      <c r="B49" s="6">
        <v>112.51</v>
      </c>
      <c r="C49" s="6">
        <v>114.8</v>
      </c>
      <c r="D49" s="6">
        <v>96.82</v>
      </c>
      <c r="E49" s="6">
        <v>107.65</v>
      </c>
      <c r="F49" s="6">
        <v>98.38</v>
      </c>
      <c r="G49" s="7">
        <v>17500600</v>
      </c>
      <c r="L49" s="5">
        <v>44531</v>
      </c>
      <c r="M49">
        <f t="shared" si="3"/>
        <v>-1.6396720655868832E-2</v>
      </c>
      <c r="N49">
        <f t="shared" si="4"/>
        <v>7.1929177425304426E-3</v>
      </c>
      <c r="O49">
        <f t="shared" si="5"/>
        <v>1.2857142857142836E-2</v>
      </c>
    </row>
    <row r="50" spans="1:15" ht="18" x14ac:dyDescent="0.2">
      <c r="A50" s="5">
        <v>44501</v>
      </c>
      <c r="B50" s="6">
        <v>117.03</v>
      </c>
      <c r="C50" s="6">
        <v>123.07</v>
      </c>
      <c r="D50" s="6">
        <v>108.83</v>
      </c>
      <c r="E50" s="6">
        <v>109.78</v>
      </c>
      <c r="F50" s="6">
        <v>100.02</v>
      </c>
      <c r="G50" s="7">
        <v>12253100</v>
      </c>
      <c r="L50" s="5">
        <v>44501</v>
      </c>
      <c r="M50">
        <f t="shared" si="3"/>
        <v>-5.4363240994610949E-2</v>
      </c>
      <c r="N50">
        <f t="shared" si="4"/>
        <v>1.4776505356482877E-3</v>
      </c>
      <c r="O50">
        <f t="shared" si="5"/>
        <v>-4.9558723693143271E-2</v>
      </c>
    </row>
    <row r="51" spans="1:15" ht="18" x14ac:dyDescent="0.2">
      <c r="A51" s="5">
        <v>44470</v>
      </c>
      <c r="B51" s="6">
        <v>109.03</v>
      </c>
      <c r="C51" s="6">
        <v>124.88</v>
      </c>
      <c r="D51" s="6">
        <v>104.56</v>
      </c>
      <c r="E51" s="6">
        <v>116.09</v>
      </c>
      <c r="F51" s="6">
        <v>105.77</v>
      </c>
      <c r="G51" s="7">
        <v>14451600</v>
      </c>
      <c r="L51" s="5">
        <v>44470</v>
      </c>
      <c r="M51">
        <f t="shared" si="3"/>
        <v>6.6767523953605551E-2</v>
      </c>
      <c r="N51">
        <f t="shared" si="4"/>
        <v>1.7669172932330782E-2</v>
      </c>
      <c r="O51">
        <f t="shared" si="5"/>
        <v>5.2142857142857171E-2</v>
      </c>
    </row>
    <row r="52" spans="1:15" ht="18" x14ac:dyDescent="0.2">
      <c r="A52" s="5">
        <v>44440</v>
      </c>
      <c r="B52" s="6">
        <v>98.07</v>
      </c>
      <c r="C52" s="6">
        <v>110.51</v>
      </c>
      <c r="D52" s="6">
        <v>94.18</v>
      </c>
      <c r="E52" s="6">
        <v>108.82</v>
      </c>
      <c r="F52" s="6">
        <v>99.15</v>
      </c>
      <c r="G52" s="7">
        <v>12014700</v>
      </c>
      <c r="L52" s="5">
        <v>44440</v>
      </c>
      <c r="M52">
        <f t="shared" si="3"/>
        <v>0.11932716188755936</v>
      </c>
      <c r="N52">
        <f t="shared" si="4"/>
        <v>7.6269471980578665E-2</v>
      </c>
      <c r="O52">
        <f t="shared" si="5"/>
        <v>-6.3875088715400893E-3</v>
      </c>
    </row>
    <row r="53" spans="1:15" ht="18" x14ac:dyDescent="0.2">
      <c r="A53" s="5">
        <v>44409</v>
      </c>
      <c r="B53" s="6">
        <v>93.48</v>
      </c>
      <c r="C53" s="6">
        <v>102.97</v>
      </c>
      <c r="D53" s="6">
        <v>90.09</v>
      </c>
      <c r="E53" s="6">
        <v>97.56</v>
      </c>
      <c r="F53" s="6">
        <v>88.58</v>
      </c>
      <c r="G53" s="7">
        <v>11457000</v>
      </c>
      <c r="L53" s="5">
        <v>44409</v>
      </c>
      <c r="M53">
        <f t="shared" si="3"/>
        <v>5.1020408163265273E-2</v>
      </c>
      <c r="N53">
        <f t="shared" si="4"/>
        <v>0.11028751123090737</v>
      </c>
      <c r="O53">
        <f t="shared" si="5"/>
        <v>6.0993975903614502E-2</v>
      </c>
    </row>
    <row r="54" spans="1:15" ht="18" x14ac:dyDescent="0.2">
      <c r="A54" s="5">
        <v>44378</v>
      </c>
      <c r="B54" s="6">
        <v>93.6</v>
      </c>
      <c r="C54" s="6">
        <v>101</v>
      </c>
      <c r="D54" s="6">
        <v>89.69</v>
      </c>
      <c r="E54" s="6">
        <v>92.82</v>
      </c>
      <c r="F54" s="6">
        <v>84.28</v>
      </c>
      <c r="G54" s="7">
        <v>14184100</v>
      </c>
      <c r="L54" s="5">
        <v>44378</v>
      </c>
      <c r="M54">
        <f t="shared" si="3"/>
        <v>-3.5582967619500813E-4</v>
      </c>
      <c r="N54">
        <f t="shared" si="4"/>
        <v>-1.3297872340425407E-2</v>
      </c>
      <c r="O54">
        <f t="shared" si="5"/>
        <v>-9.9050203527815531E-2</v>
      </c>
    </row>
    <row r="55" spans="1:15" ht="18" x14ac:dyDescent="0.2">
      <c r="A55" s="5">
        <v>44348</v>
      </c>
      <c r="B55" s="6">
        <v>101.09</v>
      </c>
      <c r="C55" s="6">
        <v>103.92</v>
      </c>
      <c r="D55" s="6">
        <v>87.77</v>
      </c>
      <c r="E55" s="6">
        <v>92.85</v>
      </c>
      <c r="F55" s="6">
        <v>84.31</v>
      </c>
      <c r="G55" s="7">
        <v>19178700</v>
      </c>
      <c r="L55" s="5">
        <v>44348</v>
      </c>
      <c r="M55">
        <f t="shared" si="3"/>
        <v>-6.9220578494148782E-2</v>
      </c>
      <c r="N55">
        <f t="shared" si="4"/>
        <v>-8.1433224755700334E-2</v>
      </c>
      <c r="O55">
        <f t="shared" si="5"/>
        <v>-9.3480934809348173E-2</v>
      </c>
    </row>
    <row r="56" spans="1:15" ht="18" x14ac:dyDescent="0.2">
      <c r="A56" s="5">
        <v>44317</v>
      </c>
      <c r="B56" s="6">
        <v>106.67</v>
      </c>
      <c r="C56" s="6">
        <v>108.91</v>
      </c>
      <c r="D56" s="6">
        <v>95.16</v>
      </c>
      <c r="E56" s="6">
        <v>100.01</v>
      </c>
      <c r="F56" s="6">
        <v>90.58</v>
      </c>
      <c r="G56" s="7">
        <v>13804600</v>
      </c>
      <c r="L56" s="5">
        <v>44317</v>
      </c>
      <c r="M56">
        <f t="shared" si="3"/>
        <v>-4.8229484081118032E-2</v>
      </c>
      <c r="N56">
        <f t="shared" si="4"/>
        <v>3.7162162162162123E-2</v>
      </c>
      <c r="O56">
        <f t="shared" si="5"/>
        <v>4.2307692307692435E-2</v>
      </c>
    </row>
    <row r="57" spans="1:15" ht="18" x14ac:dyDescent="0.2">
      <c r="A57" s="5">
        <v>44287</v>
      </c>
      <c r="B57" s="6">
        <v>94.47</v>
      </c>
      <c r="C57" s="6">
        <v>109.84</v>
      </c>
      <c r="D57" s="6">
        <v>89.9</v>
      </c>
      <c r="E57" s="6">
        <v>105.07</v>
      </c>
      <c r="F57" s="6">
        <v>95.17</v>
      </c>
      <c r="G57" s="7">
        <v>15353000</v>
      </c>
      <c r="L57" s="5">
        <v>44287</v>
      </c>
      <c r="M57">
        <f t="shared" si="3"/>
        <v>0.11257891045125082</v>
      </c>
      <c r="N57">
        <f t="shared" si="4"/>
        <v>1.5437392795883338E-2</v>
      </c>
      <c r="O57">
        <f t="shared" si="5"/>
        <v>9.1672498250524884E-2</v>
      </c>
    </row>
    <row r="58" spans="1:15" ht="18" x14ac:dyDescent="0.2">
      <c r="A58" s="5">
        <v>44256</v>
      </c>
      <c r="B58" s="6">
        <v>94.03</v>
      </c>
      <c r="C58" s="6">
        <v>103.34</v>
      </c>
      <c r="D58" s="6">
        <v>90.3</v>
      </c>
      <c r="E58" s="6">
        <v>94.44</v>
      </c>
      <c r="F58" s="6">
        <v>85.54</v>
      </c>
      <c r="G58" s="7">
        <v>19143200</v>
      </c>
      <c r="L58" s="5">
        <v>44256</v>
      </c>
      <c r="M58">
        <f t="shared" si="3"/>
        <v>3.5217233450320837E-2</v>
      </c>
      <c r="N58">
        <f t="shared" si="4"/>
        <v>4.0374749051974176E-2</v>
      </c>
      <c r="O58">
        <f t="shared" si="5"/>
        <v>4.3827611395178941E-2</v>
      </c>
    </row>
    <row r="59" spans="1:15" ht="18" x14ac:dyDescent="0.2">
      <c r="A59" s="5">
        <v>44228</v>
      </c>
      <c r="B59" s="6">
        <v>68.73</v>
      </c>
      <c r="C59" s="6">
        <v>99.39</v>
      </c>
      <c r="D59" s="6">
        <v>67.91</v>
      </c>
      <c r="E59" s="6">
        <v>91.51</v>
      </c>
      <c r="F59" s="6">
        <v>82.63</v>
      </c>
      <c r="G59" s="7">
        <v>16004900</v>
      </c>
      <c r="L59" s="5">
        <v>44228</v>
      </c>
      <c r="M59">
        <f t="shared" si="3"/>
        <v>0.34204969952899134</v>
      </c>
      <c r="N59">
        <f t="shared" si="4"/>
        <v>0.20478366030636919</v>
      </c>
      <c r="O59">
        <f t="shared" si="5"/>
        <v>0.16609880749574099</v>
      </c>
    </row>
    <row r="60" spans="1:15" ht="18" x14ac:dyDescent="0.2">
      <c r="A60" s="5">
        <v>44197</v>
      </c>
      <c r="B60" s="6">
        <v>60.7</v>
      </c>
      <c r="C60" s="6">
        <v>73.59</v>
      </c>
      <c r="D60" s="6">
        <v>57.98</v>
      </c>
      <c r="E60" s="6">
        <v>68.180000000000007</v>
      </c>
      <c r="F60" s="6">
        <v>61.57</v>
      </c>
      <c r="G60" s="7">
        <v>15622700</v>
      </c>
      <c r="L60" s="5">
        <v>44197</v>
      </c>
      <c r="M60">
        <f t="shared" si="3"/>
        <v>0.13723679349833764</v>
      </c>
      <c r="N60">
        <f t="shared" si="4"/>
        <v>1.611141452758065E-2</v>
      </c>
      <c r="O60">
        <f t="shared" si="5"/>
        <v>0.10131332082551596</v>
      </c>
    </row>
    <row r="61" spans="1:15" ht="18" x14ac:dyDescent="0.2">
      <c r="A61" s="5">
        <v>44166</v>
      </c>
      <c r="B61" s="6">
        <v>53.01</v>
      </c>
      <c r="C61" s="6">
        <v>61.23</v>
      </c>
      <c r="D61" s="6">
        <v>51.29</v>
      </c>
      <c r="E61" s="6">
        <v>59.95</v>
      </c>
      <c r="F61" s="6">
        <v>54.14</v>
      </c>
      <c r="G61" s="7">
        <v>15514800</v>
      </c>
      <c r="L61" s="5"/>
    </row>
    <row r="63" spans="1:15" x14ac:dyDescent="0.2">
      <c r="L63" t="s">
        <v>0</v>
      </c>
      <c r="M63">
        <f>AVERAGE(M2:M60)</f>
        <v>1.6822444052822287E-2</v>
      </c>
      <c r="N63">
        <f>AVERAGE(N2:N60)</f>
        <v>1.187195009890419E-2</v>
      </c>
      <c r="O63">
        <f>AVERAGE(O2:O60)</f>
        <v>1.8411837196008116E-2</v>
      </c>
    </row>
    <row r="65" spans="1:18" x14ac:dyDescent="0.2">
      <c r="A65" s="8" t="s">
        <v>7</v>
      </c>
      <c r="B65" s="8" t="s">
        <v>8</v>
      </c>
      <c r="C65" s="8" t="s">
        <v>9</v>
      </c>
      <c r="D65" s="8" t="s">
        <v>10</v>
      </c>
      <c r="E65" s="8" t="s">
        <v>11</v>
      </c>
      <c r="F65" s="8" t="s">
        <v>12</v>
      </c>
      <c r="G65" s="8" t="s">
        <v>13</v>
      </c>
      <c r="L65" t="s">
        <v>1</v>
      </c>
      <c r="M65">
        <f>_xlfn.STDEV.S(M2:M60)</f>
        <v>0.14322299183752238</v>
      </c>
      <c r="N65">
        <f>_xlfn.STDEV.S(N2:N60)</f>
        <v>0.11303465192834806</v>
      </c>
      <c r="O65">
        <f>_xlfn.STDEV.S(O2:O60)</f>
        <v>0.11139431993138836</v>
      </c>
    </row>
    <row r="66" spans="1:18" x14ac:dyDescent="0.2">
      <c r="A66" s="9">
        <v>45962</v>
      </c>
      <c r="B66" s="8">
        <v>51.85</v>
      </c>
      <c r="C66" s="8">
        <v>53.76</v>
      </c>
      <c r="D66" s="8">
        <v>50.04</v>
      </c>
      <c r="E66" s="8">
        <v>51.02</v>
      </c>
      <c r="F66" s="8">
        <v>50.58</v>
      </c>
      <c r="G66" s="10">
        <v>13929800</v>
      </c>
    </row>
    <row r="67" spans="1:18" x14ac:dyDescent="0.2">
      <c r="A67" s="9">
        <v>45931</v>
      </c>
      <c r="B67" s="8">
        <v>56.44</v>
      </c>
      <c r="C67" s="8">
        <v>58.54</v>
      </c>
      <c r="D67" s="8">
        <v>46.19</v>
      </c>
      <c r="E67" s="8">
        <v>52.11</v>
      </c>
      <c r="F67" s="8">
        <v>51.66</v>
      </c>
      <c r="G67" s="10">
        <v>59493100</v>
      </c>
      <c r="L67" t="s">
        <v>2</v>
      </c>
      <c r="M67">
        <f>_xlfn.COVARIANCE.S(M2:M60,M2:M60)</f>
        <v>2.0512825390890995E-2</v>
      </c>
      <c r="N67">
        <f>_xlfn.COVARIANCE.S(N2:N60,N2:N60)</f>
        <v>1.2776832536562806E-2</v>
      </c>
      <c r="O67">
        <f>_xlfn.COVARIANCE.S(O2:O60,O2:O60)</f>
        <v>1.240869451297651E-2</v>
      </c>
      <c r="P67">
        <f>_xlfn.COVARIANCE.S(M2:M60,N2:N60)</f>
        <v>1.4315236038073869E-2</v>
      </c>
      <c r="Q67">
        <f>_xlfn.COVARIANCE.S(M2:M60,O2:O60)</f>
        <v>9.552750840729745E-3</v>
      </c>
      <c r="R67">
        <f>_xlfn.COVARIANCE.S(N2:N60,O2:O60)</f>
        <v>8.3892623887924182E-3</v>
      </c>
    </row>
    <row r="68" spans="1:18" x14ac:dyDescent="0.2">
      <c r="A68" s="9">
        <v>45901</v>
      </c>
      <c r="B68" s="8">
        <v>57.11</v>
      </c>
      <c r="C68" s="8">
        <v>59.4</v>
      </c>
      <c r="D68" s="8">
        <v>55.42</v>
      </c>
      <c r="E68" s="8">
        <v>56.58</v>
      </c>
      <c r="F68" s="8">
        <v>56.09</v>
      </c>
      <c r="G68" s="10">
        <v>31808100</v>
      </c>
      <c r="M68">
        <v>1.1000000000000001</v>
      </c>
      <c r="N68">
        <v>2.2000000000000002</v>
      </c>
      <c r="O68">
        <v>3.3</v>
      </c>
      <c r="P68">
        <v>1.2</v>
      </c>
      <c r="Q68">
        <v>1.3</v>
      </c>
      <c r="R68">
        <v>2.2999999999999998</v>
      </c>
    </row>
    <row r="69" spans="1:18" x14ac:dyDescent="0.2">
      <c r="A69" s="9">
        <v>45870</v>
      </c>
      <c r="B69" s="8">
        <v>52.45</v>
      </c>
      <c r="C69" s="8">
        <v>58.46</v>
      </c>
      <c r="D69" s="8">
        <v>50.66</v>
      </c>
      <c r="E69" s="8">
        <v>58.01</v>
      </c>
      <c r="F69" s="8">
        <v>57.03</v>
      </c>
      <c r="G69" s="10">
        <v>30181000</v>
      </c>
    </row>
    <row r="70" spans="1:18" x14ac:dyDescent="0.2">
      <c r="A70" s="9">
        <v>45839</v>
      </c>
      <c r="B70" s="8">
        <v>51.75</v>
      </c>
      <c r="C70" s="8">
        <v>58.05</v>
      </c>
      <c r="D70" s="8">
        <v>51.36</v>
      </c>
      <c r="E70" s="8">
        <v>53.62</v>
      </c>
      <c r="F70" s="8">
        <v>52.72</v>
      </c>
      <c r="G70" s="10">
        <v>35446200</v>
      </c>
    </row>
    <row r="71" spans="1:18" x14ac:dyDescent="0.2">
      <c r="A71" s="9">
        <v>45809</v>
      </c>
      <c r="B71" s="8">
        <v>47.24</v>
      </c>
      <c r="C71" s="8">
        <v>52.32</v>
      </c>
      <c r="D71" s="8">
        <v>46.09</v>
      </c>
      <c r="E71" s="8">
        <v>51.94</v>
      </c>
      <c r="F71" s="8">
        <v>51.06</v>
      </c>
      <c r="G71" s="10">
        <v>23390700</v>
      </c>
      <c r="L71" t="s">
        <v>2</v>
      </c>
    </row>
    <row r="72" spans="1:18" x14ac:dyDescent="0.2">
      <c r="A72" s="9">
        <v>45778</v>
      </c>
      <c r="B72" s="8">
        <v>44.94</v>
      </c>
      <c r="C72" s="8">
        <v>50.21</v>
      </c>
      <c r="D72" s="8">
        <v>44.55</v>
      </c>
      <c r="E72" s="8">
        <v>47.36</v>
      </c>
      <c r="F72" s="8">
        <v>46.16</v>
      </c>
      <c r="G72" s="10">
        <v>30306200</v>
      </c>
      <c r="M72">
        <v>2.0512829999999999E-2</v>
      </c>
      <c r="N72">
        <v>1.431524E-2</v>
      </c>
      <c r="O72">
        <v>9.5527500000000005E-3</v>
      </c>
    </row>
    <row r="73" spans="1:18" x14ac:dyDescent="0.2">
      <c r="A73" s="9">
        <v>45748</v>
      </c>
      <c r="B73" s="8">
        <v>49.39</v>
      </c>
      <c r="C73" s="8">
        <v>50.49</v>
      </c>
      <c r="D73" s="8">
        <v>39.32</v>
      </c>
      <c r="E73" s="8">
        <v>44.97</v>
      </c>
      <c r="F73" s="8">
        <v>43.83</v>
      </c>
      <c r="G73" s="10">
        <v>47344100</v>
      </c>
      <c r="M73">
        <v>1.431524E-2</v>
      </c>
      <c r="N73">
        <v>1.2776829999999999E-2</v>
      </c>
      <c r="O73">
        <v>8.3892600000000008E-3</v>
      </c>
    </row>
    <row r="74" spans="1:18" x14ac:dyDescent="0.2">
      <c r="A74" s="9">
        <v>45717</v>
      </c>
      <c r="B74" s="8">
        <v>54.41</v>
      </c>
      <c r="C74" s="8">
        <v>54.85</v>
      </c>
      <c r="D74" s="8">
        <v>46.19</v>
      </c>
      <c r="E74" s="8">
        <v>49.86</v>
      </c>
      <c r="F74" s="8">
        <v>48.59</v>
      </c>
      <c r="G74" s="10">
        <v>46794000</v>
      </c>
      <c r="M74">
        <v>9.5527500000000005E-3</v>
      </c>
      <c r="N74">
        <v>8.3892600000000008E-3</v>
      </c>
      <c r="O74">
        <v>1.240869E-2</v>
      </c>
    </row>
    <row r="75" spans="1:18" x14ac:dyDescent="0.2">
      <c r="A75" s="9">
        <v>45689</v>
      </c>
      <c r="B75" s="8">
        <v>55.87</v>
      </c>
      <c r="C75" s="8">
        <v>58.39</v>
      </c>
      <c r="D75" s="8">
        <v>52.16</v>
      </c>
      <c r="E75" s="8">
        <v>54.04</v>
      </c>
      <c r="F75" s="8">
        <v>52.26</v>
      </c>
      <c r="G75" s="10">
        <v>24726600</v>
      </c>
    </row>
    <row r="76" spans="1:18" x14ac:dyDescent="0.2">
      <c r="A76" s="9">
        <v>45658</v>
      </c>
      <c r="B76" s="8">
        <v>54.67</v>
      </c>
      <c r="C76" s="8">
        <v>59.45</v>
      </c>
      <c r="D76" s="8">
        <v>52.81</v>
      </c>
      <c r="E76" s="8">
        <v>57.86</v>
      </c>
      <c r="F76" s="8">
        <v>55.95</v>
      </c>
      <c r="G76" s="10">
        <v>25021300</v>
      </c>
    </row>
    <row r="77" spans="1:18" x14ac:dyDescent="0.2">
      <c r="A77" s="9">
        <v>45627</v>
      </c>
      <c r="B77" s="8">
        <v>60.69</v>
      </c>
      <c r="C77" s="8">
        <v>60.71</v>
      </c>
      <c r="D77" s="8">
        <v>52.07</v>
      </c>
      <c r="E77" s="8">
        <v>54.25</v>
      </c>
      <c r="F77" s="8">
        <v>52.46</v>
      </c>
      <c r="G77" s="10">
        <v>27556300</v>
      </c>
      <c r="K77" t="s">
        <v>4</v>
      </c>
    </row>
    <row r="78" spans="1:18" x14ac:dyDescent="0.2">
      <c r="A78" s="9">
        <v>45597</v>
      </c>
      <c r="B78" s="8">
        <v>52.28</v>
      </c>
      <c r="C78" s="8">
        <v>63.22</v>
      </c>
      <c r="D78" s="8">
        <v>50.24</v>
      </c>
      <c r="E78" s="8">
        <v>60.52</v>
      </c>
      <c r="F78" s="8">
        <v>58.11</v>
      </c>
      <c r="G78" s="10">
        <v>25501100</v>
      </c>
      <c r="M78" cm="1">
        <f t="array" ref="M78:O80">MINVERSE(M72:O74)</f>
        <v>223.68677796827015</v>
      </c>
      <c r="N78">
        <v>-247.35557238375171</v>
      </c>
      <c r="O78">
        <v>-4.9718108084156798</v>
      </c>
      <c r="Q78">
        <v>1</v>
      </c>
    </row>
    <row r="79" spans="1:18" x14ac:dyDescent="0.2">
      <c r="A79" s="9">
        <v>45566</v>
      </c>
      <c r="B79" s="8">
        <v>46.7</v>
      </c>
      <c r="C79" s="8">
        <v>53.85</v>
      </c>
      <c r="D79" s="8">
        <v>44.96</v>
      </c>
      <c r="E79" s="8">
        <v>52.06</v>
      </c>
      <c r="F79" s="8">
        <v>49.99</v>
      </c>
      <c r="G79" s="10">
        <v>32255600</v>
      </c>
      <c r="M79">
        <v>-247.35557238375171</v>
      </c>
      <c r="N79">
        <v>414.27429411699825</v>
      </c>
      <c r="O79">
        <v>-89.657233807524008</v>
      </c>
      <c r="Q79">
        <v>1</v>
      </c>
    </row>
    <row r="80" spans="1:18" x14ac:dyDescent="0.2">
      <c r="A80" s="9">
        <v>45536</v>
      </c>
      <c r="B80" s="8">
        <v>48.99</v>
      </c>
      <c r="C80" s="8">
        <v>49.57</v>
      </c>
      <c r="D80" s="8">
        <v>43.72</v>
      </c>
      <c r="E80" s="8">
        <v>47.22</v>
      </c>
      <c r="F80" s="8">
        <v>45.34</v>
      </c>
      <c r="G80" s="10">
        <v>31447100</v>
      </c>
      <c r="M80">
        <v>-4.97181080841571</v>
      </c>
      <c r="N80">
        <v>-89.657233807523966</v>
      </c>
      <c r="O80">
        <v>145.03161179723256</v>
      </c>
      <c r="Q80">
        <v>1</v>
      </c>
    </row>
    <row r="81" spans="1:15" x14ac:dyDescent="0.2">
      <c r="A81" s="9">
        <v>45505</v>
      </c>
      <c r="B81" s="8">
        <v>51.62</v>
      </c>
      <c r="C81" s="8">
        <v>51.81</v>
      </c>
      <c r="D81" s="8">
        <v>43.51</v>
      </c>
      <c r="E81" s="8">
        <v>49.56</v>
      </c>
      <c r="F81" s="8">
        <v>47.15</v>
      </c>
      <c r="G81" s="10">
        <v>33896600</v>
      </c>
    </row>
    <row r="82" spans="1:15" x14ac:dyDescent="0.2">
      <c r="A82" s="9">
        <v>45474</v>
      </c>
      <c r="B82" s="8">
        <v>43.03</v>
      </c>
      <c r="C82" s="8">
        <v>53.32</v>
      </c>
      <c r="D82" s="8">
        <v>42.33</v>
      </c>
      <c r="E82" s="8">
        <v>51.67</v>
      </c>
      <c r="F82" s="8">
        <v>49.16</v>
      </c>
      <c r="G82" s="10">
        <v>41209600</v>
      </c>
    </row>
    <row r="83" spans="1:15" x14ac:dyDescent="0.2">
      <c r="A83" s="9">
        <v>45444</v>
      </c>
      <c r="B83" s="8">
        <v>43.45</v>
      </c>
      <c r="C83" s="8">
        <v>43.54</v>
      </c>
      <c r="D83" s="8">
        <v>39.909999999999997</v>
      </c>
      <c r="E83" s="8">
        <v>43.37</v>
      </c>
      <c r="F83" s="8">
        <v>41.26</v>
      </c>
      <c r="G83" s="10">
        <v>27889600</v>
      </c>
      <c r="M83" cm="1">
        <f t="array" ref="M83:M85">MMULT(MINVERSE(M72:O74),Q78:Q80)</f>
        <v>-28.640605223897236</v>
      </c>
    </row>
    <row r="84" spans="1:15" x14ac:dyDescent="0.2">
      <c r="A84" s="9">
        <v>45413</v>
      </c>
      <c r="B84" s="8">
        <v>41.08</v>
      </c>
      <c r="C84" s="8">
        <v>45.54</v>
      </c>
      <c r="D84" s="8">
        <v>40.98</v>
      </c>
      <c r="E84" s="8">
        <v>43.19</v>
      </c>
      <c r="F84" s="8">
        <v>40.72</v>
      </c>
      <c r="G84" s="10">
        <v>29998600</v>
      </c>
      <c r="M84">
        <v>77.261487925722534</v>
      </c>
    </row>
    <row r="85" spans="1:15" x14ac:dyDescent="0.2">
      <c r="A85" s="9">
        <v>45383</v>
      </c>
      <c r="B85" s="8">
        <v>43.36</v>
      </c>
      <c r="C85" s="8">
        <v>43.63</v>
      </c>
      <c r="D85" s="8">
        <v>39.049999999999997</v>
      </c>
      <c r="E85" s="8">
        <v>40.78</v>
      </c>
      <c r="F85" s="8">
        <v>38.44</v>
      </c>
      <c r="G85" s="10">
        <v>42463900</v>
      </c>
      <c r="M85">
        <v>50.402567181292881</v>
      </c>
      <c r="O85" t="s">
        <v>86</v>
      </c>
    </row>
    <row r="86" spans="1:15" x14ac:dyDescent="0.2">
      <c r="A86" s="9">
        <v>45352</v>
      </c>
      <c r="B86" s="8">
        <v>38.72</v>
      </c>
      <c r="C86" s="8">
        <v>43.52</v>
      </c>
      <c r="D86" s="8">
        <v>38.01</v>
      </c>
      <c r="E86" s="8">
        <v>43.4</v>
      </c>
      <c r="F86" s="8">
        <v>40.909999999999997</v>
      </c>
      <c r="G86" s="10">
        <v>86424800</v>
      </c>
      <c r="O86">
        <f>M83/SUM(_xlfn.ANCHORARRAY(M83))</f>
        <v>-0.28923053335046423</v>
      </c>
    </row>
    <row r="87" spans="1:15" x14ac:dyDescent="0.2">
      <c r="A87" s="9">
        <v>45323</v>
      </c>
      <c r="B87" s="8">
        <v>42.19</v>
      </c>
      <c r="C87" s="8">
        <v>42.34</v>
      </c>
      <c r="D87" s="8">
        <v>37.76</v>
      </c>
      <c r="E87" s="8">
        <v>39.43</v>
      </c>
      <c r="F87" s="8">
        <v>36.78</v>
      </c>
      <c r="G87" s="10">
        <v>62019000</v>
      </c>
      <c r="O87">
        <f>M84/SUM(_xlfn.ANCHORARRAY(M83))</f>
        <v>0.78023425781385858</v>
      </c>
    </row>
    <row r="88" spans="1:15" x14ac:dyDescent="0.2">
      <c r="A88" s="9">
        <v>45292</v>
      </c>
      <c r="B88" s="8">
        <v>43.5</v>
      </c>
      <c r="C88" s="8">
        <v>45.33</v>
      </c>
      <c r="D88" s="8">
        <v>39.78</v>
      </c>
      <c r="E88" s="8">
        <v>41.9</v>
      </c>
      <c r="F88" s="8">
        <v>39.090000000000003</v>
      </c>
      <c r="G88" s="10">
        <v>54437800</v>
      </c>
      <c r="O88">
        <f>M85/SUM(_xlfn.ANCHORARRAY(M83))</f>
        <v>0.50899627553660565</v>
      </c>
    </row>
    <row r="89" spans="1:15" x14ac:dyDescent="0.2">
      <c r="A89" s="9">
        <v>45261</v>
      </c>
      <c r="B89" s="8">
        <v>35.4</v>
      </c>
      <c r="C89" s="8">
        <v>46.15</v>
      </c>
      <c r="D89" s="8">
        <v>35.21</v>
      </c>
      <c r="E89" s="8">
        <v>43.87</v>
      </c>
      <c r="F89" s="8">
        <v>40.93</v>
      </c>
      <c r="G89" s="10">
        <v>49178000</v>
      </c>
      <c r="O89">
        <f>SUM(O86:O88)</f>
        <v>1</v>
      </c>
    </row>
    <row r="90" spans="1:15" x14ac:dyDescent="0.2">
      <c r="A90" s="9">
        <v>45231</v>
      </c>
      <c r="B90" s="8">
        <v>30.74</v>
      </c>
      <c r="C90" s="8">
        <v>36.53</v>
      </c>
      <c r="D90" s="8">
        <v>30.33</v>
      </c>
      <c r="E90" s="8">
        <v>35.630000000000003</v>
      </c>
      <c r="F90" s="8">
        <v>32.840000000000003</v>
      </c>
      <c r="G90" s="10">
        <v>42506500</v>
      </c>
    </row>
    <row r="91" spans="1:15" x14ac:dyDescent="0.2">
      <c r="A91" s="9">
        <v>45200</v>
      </c>
      <c r="B91" s="8">
        <v>34.89</v>
      </c>
      <c r="C91" s="8">
        <v>37.19</v>
      </c>
      <c r="D91" s="8">
        <v>28.9</v>
      </c>
      <c r="E91" s="8">
        <v>30.85</v>
      </c>
      <c r="F91" s="8">
        <v>28.43</v>
      </c>
      <c r="G91" s="10">
        <v>77844500</v>
      </c>
      <c r="M91">
        <f>SUM(M78:M80)</f>
        <v>-28.640605223897268</v>
      </c>
    </row>
    <row r="92" spans="1:15" x14ac:dyDescent="0.2">
      <c r="A92" s="9">
        <v>45170</v>
      </c>
      <c r="B92" s="8">
        <v>35.76</v>
      </c>
      <c r="C92" s="8">
        <v>37.630000000000003</v>
      </c>
      <c r="D92" s="8">
        <v>32.54</v>
      </c>
      <c r="E92" s="8">
        <v>34.89</v>
      </c>
      <c r="F92" s="8">
        <v>32.159999999999997</v>
      </c>
      <c r="G92" s="10">
        <v>57345300</v>
      </c>
      <c r="M92">
        <f>SUM(N78:N80)</f>
        <v>77.261487925722577</v>
      </c>
    </row>
    <row r="93" spans="1:15" x14ac:dyDescent="0.2">
      <c r="A93" s="9">
        <v>45139</v>
      </c>
      <c r="B93" s="8">
        <v>38.65</v>
      </c>
      <c r="C93" s="8">
        <v>38.68</v>
      </c>
      <c r="D93" s="8">
        <v>32.65</v>
      </c>
      <c r="E93" s="8">
        <v>35.5</v>
      </c>
      <c r="F93" s="8">
        <v>32.340000000000003</v>
      </c>
      <c r="G93" s="10">
        <v>54851700</v>
      </c>
      <c r="M93">
        <f>SUM(O78:O80)</f>
        <v>50.402567181292866</v>
      </c>
    </row>
    <row r="94" spans="1:15" x14ac:dyDescent="0.2">
      <c r="A94" s="9">
        <v>45108</v>
      </c>
      <c r="B94" s="8">
        <v>27.26</v>
      </c>
      <c r="C94" s="8">
        <v>39.64</v>
      </c>
      <c r="D94" s="8">
        <v>26.69</v>
      </c>
      <c r="E94" s="8">
        <v>38.25</v>
      </c>
      <c r="F94" s="8">
        <v>34.85</v>
      </c>
      <c r="G94" s="10">
        <v>94571400</v>
      </c>
      <c r="M94">
        <f>SUM(M91:M93)</f>
        <v>99.023449883118175</v>
      </c>
      <c r="O94" t="s">
        <v>86</v>
      </c>
    </row>
    <row r="95" spans="1:15" x14ac:dyDescent="0.2">
      <c r="A95" s="9">
        <v>45078</v>
      </c>
      <c r="B95" s="8">
        <v>27.81</v>
      </c>
      <c r="C95" s="8">
        <v>32.340000000000003</v>
      </c>
      <c r="D95" s="8">
        <v>26.36</v>
      </c>
      <c r="E95" s="8">
        <v>26.86</v>
      </c>
      <c r="F95" s="8">
        <v>24.47</v>
      </c>
      <c r="G95" s="10">
        <v>89806300</v>
      </c>
      <c r="O95">
        <f>1/M94*M91</f>
        <v>-0.28923053335046456</v>
      </c>
    </row>
    <row r="96" spans="1:15" x14ac:dyDescent="0.2">
      <c r="A96" s="9">
        <v>45047</v>
      </c>
      <c r="B96" s="8">
        <v>27.94</v>
      </c>
      <c r="C96" s="8">
        <v>30.67</v>
      </c>
      <c r="D96" s="8">
        <v>18.260000000000002</v>
      </c>
      <c r="E96" s="8">
        <v>27.29</v>
      </c>
      <c r="F96" s="8">
        <v>24.43</v>
      </c>
      <c r="G96" s="10">
        <v>185283000</v>
      </c>
      <c r="O96">
        <f>1/M94*M92</f>
        <v>0.78023425781385902</v>
      </c>
    </row>
    <row r="97" spans="1:17" x14ac:dyDescent="0.2">
      <c r="A97" s="9">
        <v>45017</v>
      </c>
      <c r="B97" s="8">
        <v>30.29</v>
      </c>
      <c r="C97" s="8">
        <v>33.130000000000003</v>
      </c>
      <c r="D97" s="8">
        <v>25.91</v>
      </c>
      <c r="E97" s="8">
        <v>27.86</v>
      </c>
      <c r="F97" s="8">
        <v>24.94</v>
      </c>
      <c r="G97" s="10">
        <v>100405300</v>
      </c>
      <c r="O97">
        <f>1/M94*M93</f>
        <v>0.50899627553660554</v>
      </c>
    </row>
    <row r="98" spans="1:17" x14ac:dyDescent="0.2">
      <c r="A98" s="9">
        <v>44986</v>
      </c>
      <c r="B98" s="8">
        <v>50.26</v>
      </c>
      <c r="C98" s="8">
        <v>50.96</v>
      </c>
      <c r="D98" s="8">
        <v>22.55</v>
      </c>
      <c r="E98" s="8">
        <v>29.93</v>
      </c>
      <c r="F98" s="8">
        <v>26.8</v>
      </c>
      <c r="G98" s="10">
        <v>170051500</v>
      </c>
      <c r="O98">
        <f>SUM(O95:O97)</f>
        <v>1</v>
      </c>
    </row>
    <row r="99" spans="1:17" x14ac:dyDescent="0.2">
      <c r="A99" s="9">
        <v>44958</v>
      </c>
      <c r="B99" s="8">
        <v>52.87</v>
      </c>
      <c r="C99" s="8">
        <v>55.2</v>
      </c>
      <c r="D99" s="8">
        <v>48.63</v>
      </c>
      <c r="E99" s="8">
        <v>50.62</v>
      </c>
      <c r="F99" s="8">
        <v>44.97</v>
      </c>
      <c r="G99" s="10">
        <v>23976800</v>
      </c>
    </row>
    <row r="100" spans="1:17" x14ac:dyDescent="0.2">
      <c r="A100" s="9">
        <v>44927</v>
      </c>
      <c r="B100" s="8">
        <v>48.68</v>
      </c>
      <c r="C100" s="8">
        <v>53.77</v>
      </c>
      <c r="D100" s="8">
        <v>47.56</v>
      </c>
      <c r="E100" s="8">
        <v>53.16</v>
      </c>
      <c r="F100" s="8">
        <v>47.23</v>
      </c>
      <c r="G100" s="10">
        <v>32306300</v>
      </c>
      <c r="L100" t="s">
        <v>20</v>
      </c>
    </row>
    <row r="101" spans="1:17" x14ac:dyDescent="0.2">
      <c r="A101" s="9">
        <v>44896</v>
      </c>
      <c r="B101" s="8">
        <v>52.2</v>
      </c>
      <c r="C101" s="8">
        <v>52.61</v>
      </c>
      <c r="D101" s="8">
        <v>45.21</v>
      </c>
      <c r="E101" s="8">
        <v>49.16</v>
      </c>
      <c r="F101" s="8">
        <v>43.67</v>
      </c>
      <c r="G101" s="10">
        <v>27665700</v>
      </c>
    </row>
    <row r="102" spans="1:17" x14ac:dyDescent="0.2">
      <c r="A102" s="9">
        <v>44866</v>
      </c>
      <c r="B102" s="8">
        <v>52.39</v>
      </c>
      <c r="C102" s="8">
        <v>56.1</v>
      </c>
      <c r="D102" s="8">
        <v>47.46</v>
      </c>
      <c r="E102" s="8">
        <v>51.82</v>
      </c>
      <c r="F102" s="8">
        <v>45.66</v>
      </c>
      <c r="G102" s="10">
        <v>29410400</v>
      </c>
      <c r="M102">
        <f>(O86)*(M63) +(O87)*(N63) + (O88)*(O63)</f>
        <v>1.376889426712001E-2</v>
      </c>
    </row>
    <row r="103" spans="1:17" x14ac:dyDescent="0.2">
      <c r="A103" s="9">
        <v>44835</v>
      </c>
      <c r="B103" s="8">
        <v>51.73</v>
      </c>
      <c r="C103" s="8">
        <v>54.52</v>
      </c>
      <c r="D103" s="8">
        <v>46.58</v>
      </c>
      <c r="E103" s="8">
        <v>51.94</v>
      </c>
      <c r="F103" s="8">
        <v>45.77</v>
      </c>
      <c r="G103" s="10">
        <v>35928800</v>
      </c>
      <c r="N103">
        <f>(O86)*(M63)</f>
        <v>-4.8655644656561354E-3</v>
      </c>
      <c r="P103" t="s">
        <v>87</v>
      </c>
      <c r="Q103" cm="1">
        <f t="array" ref="Q103">MMULT(TRANSPOSE(O95:O97), MMULT(M72:O74,O95:O97))</f>
        <v>1.0098618066532169E-2</v>
      </c>
    </row>
    <row r="104" spans="1:17" x14ac:dyDescent="0.2">
      <c r="A104" s="9">
        <v>44805</v>
      </c>
      <c r="B104" s="8">
        <v>54.75</v>
      </c>
      <c r="C104" s="8">
        <v>59.75</v>
      </c>
      <c r="D104" s="8">
        <v>50.79</v>
      </c>
      <c r="E104" s="8">
        <v>50.86</v>
      </c>
      <c r="F104" s="8">
        <v>44.82</v>
      </c>
      <c r="G104" s="10">
        <v>26071600</v>
      </c>
      <c r="N104">
        <f>(O87)*(N63)</f>
        <v>9.2629021742216752E-3</v>
      </c>
      <c r="P104" t="s">
        <v>88</v>
      </c>
      <c r="Q104">
        <f>SQRT(Q103)</f>
        <v>0.10049188060003737</v>
      </c>
    </row>
    <row r="105" spans="1:17" x14ac:dyDescent="0.2">
      <c r="A105" s="9">
        <v>44774</v>
      </c>
      <c r="B105" s="8">
        <v>54.29</v>
      </c>
      <c r="C105" s="8">
        <v>59.51</v>
      </c>
      <c r="D105" s="8">
        <v>53.01</v>
      </c>
      <c r="E105" s="8">
        <v>55.03</v>
      </c>
      <c r="F105" s="8">
        <v>48.16</v>
      </c>
      <c r="G105" s="10">
        <v>23218800</v>
      </c>
      <c r="N105">
        <f>(O88)*(O63)</f>
        <v>9.3715565585544714E-3</v>
      </c>
    </row>
    <row r="106" spans="1:17" x14ac:dyDescent="0.2">
      <c r="A106" s="9">
        <v>44743</v>
      </c>
      <c r="B106" s="8">
        <v>50.64</v>
      </c>
      <c r="C106" s="8">
        <v>54.7</v>
      </c>
      <c r="D106" s="8">
        <v>47.92</v>
      </c>
      <c r="E106" s="8">
        <v>54.55</v>
      </c>
      <c r="F106" s="8">
        <v>47.74</v>
      </c>
      <c r="G106" s="10">
        <v>27935800</v>
      </c>
      <c r="N106">
        <f>SUM(N103:N105)</f>
        <v>1.376889426712001E-2</v>
      </c>
    </row>
    <row r="107" spans="1:17" x14ac:dyDescent="0.2">
      <c r="A107" s="9">
        <v>44713</v>
      </c>
      <c r="B107" s="8">
        <v>56.93</v>
      </c>
      <c r="C107" s="8">
        <v>57.79</v>
      </c>
      <c r="D107" s="8">
        <v>49.94</v>
      </c>
      <c r="E107" s="8">
        <v>50.9</v>
      </c>
      <c r="F107" s="8">
        <v>44.54</v>
      </c>
      <c r="G107" s="10">
        <v>31124600</v>
      </c>
    </row>
    <row r="108" spans="1:17" x14ac:dyDescent="0.2">
      <c r="A108" s="9">
        <v>44682</v>
      </c>
      <c r="B108" s="8">
        <v>57.1</v>
      </c>
      <c r="C108" s="8">
        <v>59.51</v>
      </c>
      <c r="D108" s="8">
        <v>50.62</v>
      </c>
      <c r="E108" s="8">
        <v>57.04</v>
      </c>
      <c r="F108" s="8">
        <v>49.57</v>
      </c>
      <c r="G108" s="10">
        <v>30219600</v>
      </c>
    </row>
    <row r="109" spans="1:17" x14ac:dyDescent="0.2">
      <c r="A109" s="9">
        <v>44652</v>
      </c>
      <c r="B109" s="8">
        <v>66.61</v>
      </c>
      <c r="C109" s="8">
        <v>67.25</v>
      </c>
      <c r="D109" s="8">
        <v>55.05</v>
      </c>
      <c r="E109" s="8">
        <v>56.51</v>
      </c>
      <c r="F109" s="8">
        <v>49.11</v>
      </c>
      <c r="G109" s="10">
        <v>33289300</v>
      </c>
    </row>
    <row r="110" spans="1:17" x14ac:dyDescent="0.2">
      <c r="A110" s="9">
        <v>44621</v>
      </c>
      <c r="B110" s="8">
        <v>70.27</v>
      </c>
      <c r="C110" s="8">
        <v>71.25</v>
      </c>
      <c r="D110" s="8">
        <v>61.75</v>
      </c>
      <c r="E110" s="8">
        <v>65.56</v>
      </c>
      <c r="F110" s="8">
        <v>56.97</v>
      </c>
      <c r="G110" s="10">
        <v>40594700</v>
      </c>
    </row>
    <row r="111" spans="1:17" x14ac:dyDescent="0.2">
      <c r="A111" s="9">
        <v>44593</v>
      </c>
      <c r="B111" s="8">
        <v>67.62</v>
      </c>
      <c r="C111" s="8">
        <v>75.44</v>
      </c>
      <c r="D111" s="8">
        <v>63.91</v>
      </c>
      <c r="E111" s="8">
        <v>70.89</v>
      </c>
      <c r="F111" s="8">
        <v>61.29</v>
      </c>
      <c r="G111" s="10">
        <v>29117500</v>
      </c>
    </row>
    <row r="112" spans="1:17" x14ac:dyDescent="0.2">
      <c r="A112" s="9">
        <v>44562</v>
      </c>
      <c r="B112" s="8">
        <v>63.88</v>
      </c>
      <c r="C112" s="8">
        <v>71.209999999999994</v>
      </c>
      <c r="D112" s="8">
        <v>59.49</v>
      </c>
      <c r="E112" s="8">
        <v>67.819999999999993</v>
      </c>
      <c r="F112" s="8">
        <v>58.64</v>
      </c>
      <c r="G112" s="10">
        <v>32969500</v>
      </c>
    </row>
    <row r="113" spans="1:7" x14ac:dyDescent="0.2">
      <c r="A113" s="9">
        <v>44531</v>
      </c>
      <c r="B113" s="8">
        <v>64.400000000000006</v>
      </c>
      <c r="C113" s="8">
        <v>65.27</v>
      </c>
      <c r="D113" s="8">
        <v>58.18</v>
      </c>
      <c r="E113" s="8">
        <v>63.16</v>
      </c>
      <c r="F113" s="8">
        <v>54.61</v>
      </c>
      <c r="G113" s="10">
        <v>27485100</v>
      </c>
    </row>
    <row r="114" spans="1:7" x14ac:dyDescent="0.2">
      <c r="A114" s="9">
        <v>44501</v>
      </c>
      <c r="B114" s="8">
        <v>63.55</v>
      </c>
      <c r="C114" s="8">
        <v>68.25</v>
      </c>
      <c r="D114" s="8">
        <v>62.71</v>
      </c>
      <c r="E114" s="8">
        <v>63.08</v>
      </c>
      <c r="F114" s="8">
        <v>54.22</v>
      </c>
      <c r="G114" s="10">
        <v>25291300</v>
      </c>
    </row>
    <row r="115" spans="1:7" x14ac:dyDescent="0.2">
      <c r="A115" s="9">
        <v>44470</v>
      </c>
      <c r="B115" s="8">
        <v>62.2</v>
      </c>
      <c r="C115" s="8">
        <v>66.989999999999995</v>
      </c>
      <c r="D115" s="8">
        <v>60.48</v>
      </c>
      <c r="E115" s="8">
        <v>62.99</v>
      </c>
      <c r="F115" s="8">
        <v>54.14</v>
      </c>
      <c r="G115" s="10">
        <v>25945400</v>
      </c>
    </row>
    <row r="116" spans="1:7" x14ac:dyDescent="0.2">
      <c r="A116" s="9">
        <v>44440</v>
      </c>
      <c r="B116" s="8">
        <v>57.25</v>
      </c>
      <c r="C116" s="8">
        <v>64</v>
      </c>
      <c r="D116" s="8">
        <v>54.37</v>
      </c>
      <c r="E116" s="8">
        <v>61.89</v>
      </c>
      <c r="F116" s="8">
        <v>53.2</v>
      </c>
      <c r="G116" s="10">
        <v>27804400</v>
      </c>
    </row>
    <row r="117" spans="1:7" x14ac:dyDescent="0.2">
      <c r="A117" s="9">
        <v>44409</v>
      </c>
      <c r="B117" s="8">
        <v>52.35</v>
      </c>
      <c r="C117" s="8">
        <v>58.62</v>
      </c>
      <c r="D117" s="8">
        <v>50.8</v>
      </c>
      <c r="E117" s="8">
        <v>57.9</v>
      </c>
      <c r="F117" s="8">
        <v>49.43</v>
      </c>
      <c r="G117" s="10">
        <v>25210400</v>
      </c>
    </row>
    <row r="118" spans="1:7" x14ac:dyDescent="0.2">
      <c r="A118" s="9">
        <v>44378</v>
      </c>
      <c r="B118" s="8">
        <v>53.69</v>
      </c>
      <c r="C118" s="8">
        <v>54.02</v>
      </c>
      <c r="D118" s="8">
        <v>47.06</v>
      </c>
      <c r="E118" s="8">
        <v>52.15</v>
      </c>
      <c r="F118" s="8">
        <v>44.52</v>
      </c>
      <c r="G118" s="10">
        <v>30506700</v>
      </c>
    </row>
    <row r="119" spans="1:7" x14ac:dyDescent="0.2">
      <c r="A119" s="9">
        <v>44348</v>
      </c>
      <c r="B119" s="8">
        <v>58.29</v>
      </c>
      <c r="C119" s="8">
        <v>59.26</v>
      </c>
      <c r="D119" s="8">
        <v>49.79</v>
      </c>
      <c r="E119" s="8">
        <v>52.86</v>
      </c>
      <c r="F119" s="8">
        <v>45.12</v>
      </c>
      <c r="G119" s="10">
        <v>27399300</v>
      </c>
    </row>
    <row r="120" spans="1:7" x14ac:dyDescent="0.2">
      <c r="A120" s="9">
        <v>44317</v>
      </c>
      <c r="B120" s="8">
        <v>56.45</v>
      </c>
      <c r="C120" s="8">
        <v>60.65</v>
      </c>
      <c r="D120" s="8">
        <v>55</v>
      </c>
      <c r="E120" s="8">
        <v>57.88</v>
      </c>
      <c r="F120" s="8">
        <v>49.12</v>
      </c>
      <c r="G120" s="10">
        <v>25776500</v>
      </c>
    </row>
    <row r="121" spans="1:7" x14ac:dyDescent="0.2">
      <c r="A121" s="9">
        <v>44287</v>
      </c>
      <c r="B121" s="8">
        <v>54.55</v>
      </c>
      <c r="C121" s="8">
        <v>57.1</v>
      </c>
      <c r="D121" s="8">
        <v>51.63</v>
      </c>
      <c r="E121" s="8">
        <v>55.8</v>
      </c>
      <c r="F121" s="8">
        <v>47.36</v>
      </c>
      <c r="G121" s="10">
        <v>27983000</v>
      </c>
    </row>
    <row r="122" spans="1:7" x14ac:dyDescent="0.2">
      <c r="A122" s="9">
        <v>44256</v>
      </c>
      <c r="B122" s="8">
        <v>53.83</v>
      </c>
      <c r="C122" s="8">
        <v>60.22</v>
      </c>
      <c r="D122" s="8">
        <v>52.18</v>
      </c>
      <c r="E122" s="8">
        <v>54.96</v>
      </c>
      <c r="F122" s="8">
        <v>46.64</v>
      </c>
      <c r="G122" s="10">
        <v>35671400</v>
      </c>
    </row>
    <row r="123" spans="1:7" x14ac:dyDescent="0.2">
      <c r="A123" s="9">
        <v>44228</v>
      </c>
      <c r="B123" s="8">
        <v>44.43</v>
      </c>
      <c r="C123" s="8">
        <v>57.7</v>
      </c>
      <c r="D123" s="8">
        <v>44.02</v>
      </c>
      <c r="E123" s="8">
        <v>53.17</v>
      </c>
      <c r="F123" s="8">
        <v>44.83</v>
      </c>
      <c r="G123" s="10">
        <v>26378400</v>
      </c>
    </row>
    <row r="124" spans="1:7" x14ac:dyDescent="0.2">
      <c r="A124" s="9">
        <v>44197</v>
      </c>
      <c r="B124" s="8">
        <v>43.08</v>
      </c>
      <c r="C124" s="8">
        <v>51.22</v>
      </c>
      <c r="D124" s="8">
        <v>42.12</v>
      </c>
      <c r="E124" s="8">
        <v>44.14</v>
      </c>
      <c r="F124" s="8">
        <v>37.21</v>
      </c>
      <c r="G124" s="10">
        <v>31035000</v>
      </c>
    </row>
    <row r="125" spans="1:7" x14ac:dyDescent="0.2">
      <c r="A125" s="9">
        <v>44166</v>
      </c>
      <c r="B125" s="8">
        <v>39.53</v>
      </c>
      <c r="C125" s="8">
        <v>44.3</v>
      </c>
      <c r="D125" s="8">
        <v>39.04</v>
      </c>
      <c r="E125" s="8">
        <v>43.44</v>
      </c>
      <c r="F125" s="8">
        <v>36.619999999999997</v>
      </c>
      <c r="G125" s="10">
        <v>35405900</v>
      </c>
    </row>
    <row r="130" spans="1:7" x14ac:dyDescent="0.2">
      <c r="A130" s="4" t="s">
        <v>7</v>
      </c>
      <c r="B130" s="4" t="s">
        <v>8</v>
      </c>
      <c r="C130" s="4" t="s">
        <v>9</v>
      </c>
      <c r="D130" s="4" t="s">
        <v>10</v>
      </c>
      <c r="E130" s="4" t="s">
        <v>11</v>
      </c>
      <c r="F130" s="4" t="s">
        <v>12</v>
      </c>
      <c r="G130" s="4" t="s">
        <v>13</v>
      </c>
    </row>
    <row r="131" spans="1:7" ht="18" x14ac:dyDescent="0.2">
      <c r="A131" s="5">
        <v>45962</v>
      </c>
      <c r="B131" s="6">
        <v>21.18</v>
      </c>
      <c r="C131" s="6">
        <v>22.09</v>
      </c>
      <c r="D131" s="6">
        <v>20.95</v>
      </c>
      <c r="E131" s="6">
        <v>21.4</v>
      </c>
      <c r="F131" s="6">
        <v>21.4</v>
      </c>
      <c r="G131" s="7">
        <v>73439300</v>
      </c>
    </row>
    <row r="132" spans="1:7" ht="18" x14ac:dyDescent="0.2">
      <c r="A132" s="5">
        <v>45931</v>
      </c>
      <c r="B132" s="6">
        <v>22.55</v>
      </c>
      <c r="C132" s="6">
        <v>23.7</v>
      </c>
      <c r="D132" s="6">
        <v>19.8</v>
      </c>
      <c r="E132" s="6">
        <v>21.36</v>
      </c>
      <c r="F132" s="6">
        <v>21.36</v>
      </c>
      <c r="G132" s="7">
        <v>381026800</v>
      </c>
    </row>
    <row r="133" spans="1:7" ht="18" x14ac:dyDescent="0.2">
      <c r="A133" s="5">
        <v>45901</v>
      </c>
      <c r="B133" s="6">
        <v>22.28</v>
      </c>
      <c r="C133" s="6">
        <v>23.26</v>
      </c>
      <c r="D133" s="6">
        <v>21.94</v>
      </c>
      <c r="E133" s="6">
        <v>22.61</v>
      </c>
      <c r="F133" s="6">
        <v>22.46</v>
      </c>
      <c r="G133" s="7">
        <v>241128900</v>
      </c>
    </row>
    <row r="134" spans="1:7" ht="18" x14ac:dyDescent="0.2">
      <c r="A134" s="5">
        <v>45870</v>
      </c>
      <c r="B134" s="6">
        <v>21.39</v>
      </c>
      <c r="C134" s="6">
        <v>22.98</v>
      </c>
      <c r="D134" s="6">
        <v>20.9</v>
      </c>
      <c r="E134" s="6">
        <v>22.6</v>
      </c>
      <c r="F134" s="6">
        <v>22.45</v>
      </c>
      <c r="G134" s="7">
        <v>209574800</v>
      </c>
    </row>
    <row r="135" spans="1:7" ht="18" x14ac:dyDescent="0.2">
      <c r="A135" s="5">
        <v>45839</v>
      </c>
      <c r="B135" s="6">
        <v>21.07</v>
      </c>
      <c r="C135" s="6">
        <v>23</v>
      </c>
      <c r="D135" s="6">
        <v>20.98</v>
      </c>
      <c r="E135" s="6">
        <v>21.81</v>
      </c>
      <c r="F135" s="6">
        <v>21.67</v>
      </c>
      <c r="G135" s="7">
        <v>185041300</v>
      </c>
    </row>
    <row r="136" spans="1:7" ht="18" x14ac:dyDescent="0.2">
      <c r="A136" s="5">
        <v>45809</v>
      </c>
      <c r="B136" s="6">
        <v>19.84</v>
      </c>
      <c r="C136" s="6">
        <v>21.31</v>
      </c>
      <c r="D136" s="6">
        <v>19.04</v>
      </c>
      <c r="E136" s="6">
        <v>21.2</v>
      </c>
      <c r="F136" s="6">
        <v>20.9</v>
      </c>
      <c r="G136" s="7">
        <v>112728900</v>
      </c>
    </row>
    <row r="137" spans="1:7" ht="18" x14ac:dyDescent="0.2">
      <c r="A137" s="5">
        <v>45778</v>
      </c>
      <c r="B137" s="6">
        <v>18.05</v>
      </c>
      <c r="C137" s="6">
        <v>20.58</v>
      </c>
      <c r="D137" s="6">
        <v>17.95</v>
      </c>
      <c r="E137" s="6">
        <v>19.88</v>
      </c>
      <c r="F137" s="6">
        <v>19.600000000000001</v>
      </c>
      <c r="G137" s="7">
        <v>90918700</v>
      </c>
    </row>
    <row r="138" spans="1:7" ht="18" x14ac:dyDescent="0.2">
      <c r="A138" s="5">
        <v>45748</v>
      </c>
      <c r="B138" s="6">
        <v>19.21</v>
      </c>
      <c r="C138" s="6">
        <v>19.66</v>
      </c>
      <c r="D138" s="6">
        <v>15.19</v>
      </c>
      <c r="E138" s="6">
        <v>18.079999999999998</v>
      </c>
      <c r="F138" s="6">
        <v>17.82</v>
      </c>
      <c r="G138" s="7">
        <v>142479600</v>
      </c>
    </row>
    <row r="139" spans="1:7" ht="18" x14ac:dyDescent="0.2">
      <c r="A139" s="5">
        <v>45717</v>
      </c>
      <c r="B139" s="6">
        <v>21.57</v>
      </c>
      <c r="C139" s="6">
        <v>21.77</v>
      </c>
      <c r="D139" s="6">
        <v>17.510000000000002</v>
      </c>
      <c r="E139" s="6">
        <v>19.420000000000002</v>
      </c>
      <c r="F139" s="6">
        <v>18.989999999999998</v>
      </c>
      <c r="G139" s="7">
        <v>151594800</v>
      </c>
    </row>
    <row r="140" spans="1:7" ht="18" x14ac:dyDescent="0.2">
      <c r="A140" s="5">
        <v>45689</v>
      </c>
      <c r="B140" s="6">
        <v>21.28</v>
      </c>
      <c r="C140" s="6">
        <v>22.44</v>
      </c>
      <c r="D140" s="6">
        <v>20.37</v>
      </c>
      <c r="E140" s="6">
        <v>21.54</v>
      </c>
      <c r="F140" s="6">
        <v>21.06</v>
      </c>
      <c r="G140" s="7">
        <v>96875800</v>
      </c>
    </row>
    <row r="141" spans="1:7" ht="18" x14ac:dyDescent="0.2">
      <c r="A141" s="5">
        <v>45658</v>
      </c>
      <c r="B141" s="6">
        <v>20.18</v>
      </c>
      <c r="C141" s="6">
        <v>22.11</v>
      </c>
      <c r="D141" s="6">
        <v>19.690000000000001</v>
      </c>
      <c r="E141" s="6">
        <v>21.89</v>
      </c>
      <c r="F141" s="6">
        <v>21.41</v>
      </c>
      <c r="G141" s="7">
        <v>122082000</v>
      </c>
    </row>
    <row r="142" spans="1:7" ht="18" x14ac:dyDescent="0.2">
      <c r="A142" s="5">
        <v>45627</v>
      </c>
      <c r="B142" s="6">
        <v>21.22</v>
      </c>
      <c r="C142" s="6">
        <v>21.25</v>
      </c>
      <c r="D142" s="6">
        <v>19.09</v>
      </c>
      <c r="E142" s="6">
        <v>20.14</v>
      </c>
      <c r="F142" s="6">
        <v>19.55</v>
      </c>
      <c r="G142" s="7">
        <v>126437300</v>
      </c>
    </row>
    <row r="143" spans="1:7" ht="18" x14ac:dyDescent="0.2">
      <c r="A143" s="5">
        <v>45597</v>
      </c>
      <c r="B143" s="6">
        <v>17.440000000000001</v>
      </c>
      <c r="C143" s="6">
        <v>21.72</v>
      </c>
      <c r="D143" s="6">
        <v>16.899999999999999</v>
      </c>
      <c r="E143" s="6">
        <v>21.13</v>
      </c>
      <c r="F143" s="6">
        <v>20.51</v>
      </c>
      <c r="G143" s="7">
        <v>133796200</v>
      </c>
    </row>
    <row r="144" spans="1:7" ht="18" x14ac:dyDescent="0.2">
      <c r="A144" s="5">
        <v>45566</v>
      </c>
      <c r="B144" s="6">
        <v>15.45</v>
      </c>
      <c r="C144" s="6">
        <v>17.93</v>
      </c>
      <c r="D144" s="6">
        <v>14.83</v>
      </c>
      <c r="E144" s="6">
        <v>17.329999999999998</v>
      </c>
      <c r="F144" s="6">
        <v>16.82</v>
      </c>
      <c r="G144" s="7">
        <v>150035500</v>
      </c>
    </row>
    <row r="145" spans="1:7" ht="18" x14ac:dyDescent="0.2">
      <c r="A145" s="5">
        <v>45536</v>
      </c>
      <c r="B145" s="6">
        <v>16.329999999999998</v>
      </c>
      <c r="C145" s="6">
        <v>16.600000000000001</v>
      </c>
      <c r="D145" s="6">
        <v>14.9</v>
      </c>
      <c r="E145" s="6">
        <v>15.53</v>
      </c>
      <c r="F145" s="6">
        <v>14.93</v>
      </c>
      <c r="G145" s="7">
        <v>131176000</v>
      </c>
    </row>
    <row r="146" spans="1:7" ht="18" x14ac:dyDescent="0.2">
      <c r="A146" s="5">
        <v>45505</v>
      </c>
      <c r="B146" s="6">
        <v>16.690000000000001</v>
      </c>
      <c r="C146" s="6">
        <v>16.77</v>
      </c>
      <c r="D146" s="6">
        <v>14.34</v>
      </c>
      <c r="E146" s="6">
        <v>16.59</v>
      </c>
      <c r="F146" s="6">
        <v>15.95</v>
      </c>
      <c r="G146" s="7">
        <v>94809400</v>
      </c>
    </row>
    <row r="147" spans="1:7" ht="18" x14ac:dyDescent="0.2">
      <c r="A147" s="5">
        <v>45474</v>
      </c>
      <c r="B147" s="6">
        <v>15.87</v>
      </c>
      <c r="C147" s="6">
        <v>17.46</v>
      </c>
      <c r="D147" s="6">
        <v>15.07</v>
      </c>
      <c r="E147" s="6">
        <v>16.73</v>
      </c>
      <c r="F147" s="6">
        <v>16.079999999999998</v>
      </c>
      <c r="G147" s="7">
        <v>157224300</v>
      </c>
    </row>
    <row r="148" spans="1:7" ht="18" x14ac:dyDescent="0.2">
      <c r="A148" s="5">
        <v>45444</v>
      </c>
      <c r="B148" s="6">
        <v>15.91</v>
      </c>
      <c r="C148" s="6">
        <v>16</v>
      </c>
      <c r="D148" s="6">
        <v>14.09</v>
      </c>
      <c r="E148" s="6">
        <v>15.77</v>
      </c>
      <c r="F148" s="6">
        <v>15</v>
      </c>
      <c r="G148" s="7">
        <v>141620700</v>
      </c>
    </row>
    <row r="149" spans="1:7" ht="18" x14ac:dyDescent="0.2">
      <c r="A149" s="5">
        <v>45413</v>
      </c>
      <c r="B149" s="6">
        <v>14.97</v>
      </c>
      <c r="C149" s="6">
        <v>16.28</v>
      </c>
      <c r="D149" s="6">
        <v>14.94</v>
      </c>
      <c r="E149" s="6">
        <v>15.84</v>
      </c>
      <c r="F149" s="6">
        <v>15.07</v>
      </c>
      <c r="G149" s="7">
        <v>124904900</v>
      </c>
    </row>
    <row r="150" spans="1:7" ht="18" x14ac:dyDescent="0.2">
      <c r="A150" s="5">
        <v>45383</v>
      </c>
      <c r="B150" s="6">
        <v>15.41</v>
      </c>
      <c r="C150" s="6">
        <v>15.44</v>
      </c>
      <c r="D150" s="6">
        <v>13.72</v>
      </c>
      <c r="E150" s="6">
        <v>14.92</v>
      </c>
      <c r="F150" s="6">
        <v>14.19</v>
      </c>
      <c r="G150" s="7">
        <v>122820500</v>
      </c>
    </row>
    <row r="151" spans="1:7" ht="18" x14ac:dyDescent="0.2">
      <c r="A151" s="5">
        <v>45352</v>
      </c>
      <c r="B151" s="6">
        <v>13.96</v>
      </c>
      <c r="C151" s="6">
        <v>15.49</v>
      </c>
      <c r="D151" s="6">
        <v>13.81</v>
      </c>
      <c r="E151" s="6">
        <v>15.4</v>
      </c>
      <c r="F151" s="6">
        <v>14.5</v>
      </c>
      <c r="G151" s="7">
        <v>135681200</v>
      </c>
    </row>
    <row r="152" spans="1:7" ht="18" x14ac:dyDescent="0.2">
      <c r="A152" s="5">
        <v>45323</v>
      </c>
      <c r="B152" s="6">
        <v>14.3</v>
      </c>
      <c r="C152" s="6">
        <v>14.4</v>
      </c>
      <c r="D152" s="6">
        <v>13.45</v>
      </c>
      <c r="E152" s="6">
        <v>14.1</v>
      </c>
      <c r="F152" s="6">
        <v>13.28</v>
      </c>
      <c r="G152" s="7">
        <v>136083400</v>
      </c>
    </row>
    <row r="153" spans="1:7" ht="18" x14ac:dyDescent="0.2">
      <c r="A153" s="5">
        <v>45292</v>
      </c>
      <c r="B153" s="6">
        <v>14.07</v>
      </c>
      <c r="C153" s="6">
        <v>15.37</v>
      </c>
      <c r="D153" s="6">
        <v>12.95</v>
      </c>
      <c r="E153" s="6">
        <v>14.24</v>
      </c>
      <c r="F153" s="6">
        <v>13.41</v>
      </c>
      <c r="G153" s="7">
        <v>189586500</v>
      </c>
    </row>
    <row r="154" spans="1:7" ht="18" x14ac:dyDescent="0.2">
      <c r="A154" s="5">
        <v>45261</v>
      </c>
      <c r="B154" s="6">
        <v>12.83</v>
      </c>
      <c r="C154" s="6">
        <v>14.5</v>
      </c>
      <c r="D154" s="6">
        <v>12.71</v>
      </c>
      <c r="E154" s="6">
        <v>14.16</v>
      </c>
      <c r="F154" s="6">
        <v>13.19</v>
      </c>
      <c r="G154" s="7">
        <v>175181900</v>
      </c>
    </row>
    <row r="155" spans="1:7" ht="18" x14ac:dyDescent="0.2">
      <c r="A155" s="5">
        <v>45231</v>
      </c>
      <c r="B155" s="6">
        <v>10.73</v>
      </c>
      <c r="C155" s="6">
        <v>12.94</v>
      </c>
      <c r="D155" s="6">
        <v>10.55</v>
      </c>
      <c r="E155" s="6">
        <v>12.79</v>
      </c>
      <c r="F155" s="6">
        <v>11.92</v>
      </c>
      <c r="G155" s="7">
        <v>196151700</v>
      </c>
    </row>
    <row r="156" spans="1:7" ht="18" x14ac:dyDescent="0.2">
      <c r="A156" s="5">
        <v>45200</v>
      </c>
      <c r="B156" s="6">
        <v>10.93</v>
      </c>
      <c r="C156" s="6">
        <v>11.49</v>
      </c>
      <c r="D156" s="6">
        <v>10.08</v>
      </c>
      <c r="E156" s="6">
        <v>10.75</v>
      </c>
      <c r="F156" s="6">
        <v>10.02</v>
      </c>
      <c r="G156" s="7">
        <v>174889200</v>
      </c>
    </row>
    <row r="157" spans="1:7" ht="18" x14ac:dyDescent="0.2">
      <c r="A157" s="5">
        <v>45170</v>
      </c>
      <c r="B157" s="6">
        <v>12.69</v>
      </c>
      <c r="C157" s="6">
        <v>12.86</v>
      </c>
      <c r="D157" s="6">
        <v>10.85</v>
      </c>
      <c r="E157" s="6">
        <v>11.02</v>
      </c>
      <c r="F157" s="6">
        <v>10.130000000000001</v>
      </c>
      <c r="G157" s="7">
        <v>130410700</v>
      </c>
    </row>
    <row r="158" spans="1:7" ht="18" x14ac:dyDescent="0.2">
      <c r="A158" s="5">
        <v>45139</v>
      </c>
      <c r="B158" s="6">
        <v>13.57</v>
      </c>
      <c r="C158" s="6">
        <v>13.82</v>
      </c>
      <c r="D158" s="6">
        <v>12.12</v>
      </c>
      <c r="E158" s="6">
        <v>12.55</v>
      </c>
      <c r="F158" s="6">
        <v>11.54</v>
      </c>
      <c r="G158" s="7">
        <v>120906600</v>
      </c>
    </row>
    <row r="159" spans="1:7" ht="18" x14ac:dyDescent="0.2">
      <c r="A159" s="5">
        <v>45108</v>
      </c>
      <c r="B159" s="6">
        <v>11.41</v>
      </c>
      <c r="C159" s="6">
        <v>13.96</v>
      </c>
      <c r="D159" s="6">
        <v>11.31</v>
      </c>
      <c r="E159" s="6">
        <v>13.63</v>
      </c>
      <c r="F159" s="6">
        <v>12.53</v>
      </c>
      <c r="G159" s="7">
        <v>181060600</v>
      </c>
    </row>
    <row r="160" spans="1:7" ht="18" x14ac:dyDescent="0.2">
      <c r="A160" s="5">
        <v>45078</v>
      </c>
      <c r="B160" s="6">
        <v>10.41</v>
      </c>
      <c r="C160" s="6">
        <v>12.26</v>
      </c>
      <c r="D160" s="6">
        <v>10.25</v>
      </c>
      <c r="E160" s="6">
        <v>11.27</v>
      </c>
      <c r="F160" s="6">
        <v>10.23</v>
      </c>
      <c r="G160" s="7">
        <v>236783600</v>
      </c>
    </row>
    <row r="161" spans="1:7" ht="18" x14ac:dyDescent="0.2">
      <c r="A161" s="5">
        <v>45047</v>
      </c>
      <c r="B161" s="6">
        <v>17.64</v>
      </c>
      <c r="C161" s="6">
        <v>17.82</v>
      </c>
      <c r="D161" s="6">
        <v>8.99</v>
      </c>
      <c r="E161" s="6">
        <v>10.31</v>
      </c>
      <c r="F161" s="6">
        <v>9.36</v>
      </c>
      <c r="G161" s="7">
        <v>461851200</v>
      </c>
    </row>
    <row r="162" spans="1:7" ht="18" x14ac:dyDescent="0.2">
      <c r="A162" s="5">
        <v>45017</v>
      </c>
      <c r="B162" s="6">
        <v>17.850000000000001</v>
      </c>
      <c r="C162" s="6">
        <v>18.989999999999998</v>
      </c>
      <c r="D162" s="6">
        <v>16.96</v>
      </c>
      <c r="E162" s="6">
        <v>17.55</v>
      </c>
      <c r="F162" s="6">
        <v>15.93</v>
      </c>
      <c r="G162" s="7">
        <v>89738500</v>
      </c>
    </row>
    <row r="163" spans="1:7" ht="18" x14ac:dyDescent="0.2">
      <c r="A163" s="5">
        <v>44986</v>
      </c>
      <c r="B163" s="6">
        <v>20.78</v>
      </c>
      <c r="C163" s="6">
        <v>22.88</v>
      </c>
      <c r="D163" s="6">
        <v>13.4</v>
      </c>
      <c r="E163" s="6">
        <v>17.78</v>
      </c>
      <c r="F163" s="6">
        <v>15.98</v>
      </c>
      <c r="G163" s="7">
        <v>343128300</v>
      </c>
    </row>
    <row r="164" spans="1:7" ht="18" x14ac:dyDescent="0.2">
      <c r="A164" s="5">
        <v>44958</v>
      </c>
      <c r="B164" s="6">
        <v>24.72</v>
      </c>
      <c r="C164" s="6">
        <v>24.9</v>
      </c>
      <c r="D164" s="6">
        <v>24.63</v>
      </c>
      <c r="E164" s="6">
        <v>24.77</v>
      </c>
      <c r="F164" s="6">
        <v>22.26</v>
      </c>
      <c r="G164" s="7">
        <v>60004300</v>
      </c>
    </row>
    <row r="165" spans="1:7" ht="18" x14ac:dyDescent="0.2">
      <c r="A165" s="5">
        <v>44927</v>
      </c>
      <c r="B165" s="6">
        <v>24.5</v>
      </c>
      <c r="C165" s="6">
        <v>24.79</v>
      </c>
      <c r="D165" s="6">
        <v>24.37</v>
      </c>
      <c r="E165" s="6">
        <v>24.73</v>
      </c>
      <c r="F165" s="6">
        <v>22.23</v>
      </c>
      <c r="G165" s="7">
        <v>84904400</v>
      </c>
    </row>
    <row r="166" spans="1:7" ht="18" x14ac:dyDescent="0.2">
      <c r="A166" s="5">
        <v>44896</v>
      </c>
      <c r="B166" s="6">
        <v>24.73</v>
      </c>
      <c r="C166" s="6">
        <v>24.76</v>
      </c>
      <c r="D166" s="6">
        <v>24.27</v>
      </c>
      <c r="E166" s="6">
        <v>24.5</v>
      </c>
      <c r="F166" s="6">
        <v>21.88</v>
      </c>
      <c r="G166" s="7">
        <v>100561700</v>
      </c>
    </row>
    <row r="167" spans="1:7" ht="18" x14ac:dyDescent="0.2">
      <c r="A167" s="5">
        <v>44866</v>
      </c>
      <c r="B167" s="6">
        <v>24.49</v>
      </c>
      <c r="C167" s="6">
        <v>24.92</v>
      </c>
      <c r="D167" s="6">
        <v>24.25</v>
      </c>
      <c r="E167" s="6">
        <v>24.85</v>
      </c>
      <c r="F167" s="6">
        <v>22.2</v>
      </c>
      <c r="G167" s="7">
        <v>147536200</v>
      </c>
    </row>
    <row r="168" spans="1:7" ht="18" x14ac:dyDescent="0.2">
      <c r="A168" s="5">
        <v>44835</v>
      </c>
      <c r="B168" s="6">
        <v>23.1</v>
      </c>
      <c r="C168" s="6">
        <v>24.53</v>
      </c>
      <c r="D168" s="6">
        <v>22.91</v>
      </c>
      <c r="E168" s="6">
        <v>24.51</v>
      </c>
      <c r="F168" s="6">
        <v>21.89</v>
      </c>
      <c r="G168" s="7">
        <v>105821400</v>
      </c>
    </row>
    <row r="169" spans="1:7" ht="18" x14ac:dyDescent="0.2">
      <c r="A169" s="5">
        <v>44805</v>
      </c>
      <c r="B169" s="6">
        <v>22.75</v>
      </c>
      <c r="C169" s="6">
        <v>23.65</v>
      </c>
      <c r="D169" s="6">
        <v>22.39</v>
      </c>
      <c r="E169" s="6">
        <v>22.9</v>
      </c>
      <c r="F169" s="6">
        <v>20.32</v>
      </c>
      <c r="G169" s="7">
        <v>81349700</v>
      </c>
    </row>
    <row r="170" spans="1:7" ht="18" x14ac:dyDescent="0.2">
      <c r="A170" s="5">
        <v>44774</v>
      </c>
      <c r="B170" s="6">
        <v>22.31</v>
      </c>
      <c r="C170" s="6">
        <v>23.36</v>
      </c>
      <c r="D170" s="6">
        <v>22.03</v>
      </c>
      <c r="E170" s="6">
        <v>22.62</v>
      </c>
      <c r="F170" s="6">
        <v>20.07</v>
      </c>
      <c r="G170" s="7">
        <v>53365200</v>
      </c>
    </row>
    <row r="171" spans="1:7" ht="18" x14ac:dyDescent="0.2">
      <c r="A171" s="5">
        <v>44743</v>
      </c>
      <c r="B171" s="6">
        <v>21.83</v>
      </c>
      <c r="C171" s="6">
        <v>22.65</v>
      </c>
      <c r="D171" s="6">
        <v>21.27</v>
      </c>
      <c r="E171" s="6">
        <v>22.36</v>
      </c>
      <c r="F171" s="6">
        <v>19.84</v>
      </c>
      <c r="G171" s="7">
        <v>55579600</v>
      </c>
    </row>
    <row r="172" spans="1:7" ht="18" x14ac:dyDescent="0.2">
      <c r="A172" s="5">
        <v>44713</v>
      </c>
      <c r="B172" s="6">
        <v>22.85</v>
      </c>
      <c r="C172" s="6">
        <v>23.03</v>
      </c>
      <c r="D172" s="6">
        <v>20.48</v>
      </c>
      <c r="E172" s="6">
        <v>21.86</v>
      </c>
      <c r="F172" s="6">
        <v>19.27</v>
      </c>
      <c r="G172" s="7">
        <v>94092900</v>
      </c>
    </row>
    <row r="173" spans="1:7" ht="18" x14ac:dyDescent="0.2">
      <c r="A173" s="5">
        <v>44682</v>
      </c>
      <c r="B173" s="6">
        <v>22.5</v>
      </c>
      <c r="C173" s="6">
        <v>23.11</v>
      </c>
      <c r="D173" s="6">
        <v>21.33</v>
      </c>
      <c r="E173" s="6">
        <v>22.83</v>
      </c>
      <c r="F173" s="6">
        <v>20.13</v>
      </c>
      <c r="G173" s="7">
        <v>108576600</v>
      </c>
    </row>
    <row r="174" spans="1:7" ht="18" x14ac:dyDescent="0.2">
      <c r="A174" s="5">
        <v>44652</v>
      </c>
      <c r="B174" s="6">
        <v>23.58</v>
      </c>
      <c r="C174" s="6">
        <v>23.66</v>
      </c>
      <c r="D174" s="6">
        <v>22.38</v>
      </c>
      <c r="E174" s="6">
        <v>22.38</v>
      </c>
      <c r="F174" s="6">
        <v>19.73</v>
      </c>
      <c r="G174" s="7">
        <v>124532600</v>
      </c>
    </row>
    <row r="175" spans="1:7" ht="18" x14ac:dyDescent="0.2">
      <c r="A175" s="5">
        <v>44621</v>
      </c>
      <c r="B175" s="6">
        <v>23.37</v>
      </c>
      <c r="C175" s="6">
        <v>23.97</v>
      </c>
      <c r="D175" s="6">
        <v>22.85</v>
      </c>
      <c r="E175" s="6">
        <v>23.49</v>
      </c>
      <c r="F175" s="6">
        <v>20.58</v>
      </c>
      <c r="G175" s="7">
        <v>304286200</v>
      </c>
    </row>
    <row r="176" spans="1:7" ht="18" x14ac:dyDescent="0.2">
      <c r="A176" s="5">
        <v>44593</v>
      </c>
      <c r="B176" s="6">
        <v>17.09</v>
      </c>
      <c r="C176" s="6">
        <v>24.24</v>
      </c>
      <c r="D176" s="6">
        <v>16.78</v>
      </c>
      <c r="E176" s="6">
        <v>23.48</v>
      </c>
      <c r="F176" s="6">
        <v>20.57</v>
      </c>
      <c r="G176" s="7">
        <v>197290800</v>
      </c>
    </row>
    <row r="177" spans="1:7" ht="18" x14ac:dyDescent="0.2">
      <c r="A177" s="5">
        <v>44562</v>
      </c>
      <c r="B177" s="6">
        <v>16.59</v>
      </c>
      <c r="C177" s="6">
        <v>18.72</v>
      </c>
      <c r="D177" s="6">
        <v>16.510000000000002</v>
      </c>
      <c r="E177" s="6">
        <v>17.11</v>
      </c>
      <c r="F177" s="6">
        <v>14.99</v>
      </c>
      <c r="G177" s="7">
        <v>120389300</v>
      </c>
    </row>
    <row r="178" spans="1:7" ht="18" x14ac:dyDescent="0.2">
      <c r="A178" s="5">
        <v>44531</v>
      </c>
      <c r="B178" s="6">
        <v>16.5</v>
      </c>
      <c r="C178" s="6">
        <v>16.91</v>
      </c>
      <c r="D178" s="6">
        <v>15</v>
      </c>
      <c r="E178" s="6">
        <v>16.329999999999998</v>
      </c>
      <c r="F178" s="6">
        <v>14.18</v>
      </c>
      <c r="G178" s="7">
        <v>95412000</v>
      </c>
    </row>
    <row r="179" spans="1:7" ht="18" x14ac:dyDescent="0.2">
      <c r="A179" s="5">
        <v>44501</v>
      </c>
      <c r="B179" s="6">
        <v>17.14</v>
      </c>
      <c r="C179" s="6">
        <v>17.63</v>
      </c>
      <c r="D179" s="6">
        <v>16.03</v>
      </c>
      <c r="E179" s="6">
        <v>16.13</v>
      </c>
      <c r="F179" s="6">
        <v>14</v>
      </c>
      <c r="G179" s="7">
        <v>68307700</v>
      </c>
    </row>
    <row r="180" spans="1:7" ht="18" x14ac:dyDescent="0.2">
      <c r="A180" s="5">
        <v>44470</v>
      </c>
      <c r="B180" s="6">
        <v>16.37</v>
      </c>
      <c r="C180" s="6">
        <v>17.350000000000001</v>
      </c>
      <c r="D180" s="6">
        <v>16</v>
      </c>
      <c r="E180" s="6">
        <v>16.97</v>
      </c>
      <c r="F180" s="6">
        <v>14.73</v>
      </c>
      <c r="G180" s="7">
        <v>84483700</v>
      </c>
    </row>
    <row r="181" spans="1:7" ht="18" x14ac:dyDescent="0.2">
      <c r="A181" s="5">
        <v>44440</v>
      </c>
      <c r="B181" s="6">
        <v>16.45</v>
      </c>
      <c r="C181" s="6">
        <v>16.809999999999999</v>
      </c>
      <c r="D181" s="6">
        <v>14.67</v>
      </c>
      <c r="E181" s="6">
        <v>16.29</v>
      </c>
      <c r="F181" s="6">
        <v>14</v>
      </c>
      <c r="G181" s="7">
        <v>88637600</v>
      </c>
    </row>
    <row r="182" spans="1:7" ht="18" x14ac:dyDescent="0.2">
      <c r="A182" s="5">
        <v>44409</v>
      </c>
      <c r="B182" s="6">
        <v>15.51</v>
      </c>
      <c r="C182" s="6">
        <v>16.75</v>
      </c>
      <c r="D182" s="6">
        <v>15.08</v>
      </c>
      <c r="E182" s="6">
        <v>16.39</v>
      </c>
      <c r="F182" s="6">
        <v>14.09</v>
      </c>
      <c r="G182" s="7">
        <v>84108900</v>
      </c>
    </row>
    <row r="183" spans="1:7" ht="18" x14ac:dyDescent="0.2">
      <c r="A183" s="5">
        <v>44378</v>
      </c>
      <c r="B183" s="6">
        <v>17.38</v>
      </c>
      <c r="C183" s="6">
        <v>17.48</v>
      </c>
      <c r="D183" s="6">
        <v>14.85</v>
      </c>
      <c r="E183" s="6">
        <v>15.45</v>
      </c>
      <c r="F183" s="6">
        <v>13.28</v>
      </c>
      <c r="G183" s="7">
        <v>135579200</v>
      </c>
    </row>
    <row r="184" spans="1:7" ht="18" x14ac:dyDescent="0.2">
      <c r="A184" s="5">
        <v>44348</v>
      </c>
      <c r="B184" s="6">
        <v>19.13</v>
      </c>
      <c r="C184" s="6">
        <v>19.45</v>
      </c>
      <c r="D184" s="6">
        <v>16.489999999999998</v>
      </c>
      <c r="E184" s="6">
        <v>17.28</v>
      </c>
      <c r="F184" s="6">
        <v>14.74</v>
      </c>
      <c r="G184" s="7">
        <v>102645700</v>
      </c>
    </row>
    <row r="185" spans="1:7" ht="18" x14ac:dyDescent="0.2">
      <c r="A185" s="5">
        <v>44317</v>
      </c>
      <c r="B185" s="6">
        <v>18.559999999999999</v>
      </c>
      <c r="C185" s="6">
        <v>19.440000000000001</v>
      </c>
      <c r="D185" s="6">
        <v>18.079999999999998</v>
      </c>
      <c r="E185" s="6">
        <v>19.07</v>
      </c>
      <c r="F185" s="6">
        <v>16.260000000000002</v>
      </c>
      <c r="G185" s="7">
        <v>86758500</v>
      </c>
    </row>
    <row r="186" spans="1:7" ht="18" x14ac:dyDescent="0.2">
      <c r="A186" s="5">
        <v>44287</v>
      </c>
      <c r="B186" s="6">
        <v>17</v>
      </c>
      <c r="C186" s="6">
        <v>18.73</v>
      </c>
      <c r="D186" s="6">
        <v>16.46</v>
      </c>
      <c r="E186" s="6">
        <v>18.29</v>
      </c>
      <c r="F186" s="6">
        <v>15.6</v>
      </c>
      <c r="G186" s="7">
        <v>103414100</v>
      </c>
    </row>
    <row r="187" spans="1:7" ht="18" x14ac:dyDescent="0.2">
      <c r="A187" s="5">
        <v>44256</v>
      </c>
      <c r="B187" s="6">
        <v>16.579999999999998</v>
      </c>
      <c r="C187" s="6">
        <v>18.420000000000002</v>
      </c>
      <c r="D187" s="6">
        <v>15.93</v>
      </c>
      <c r="E187" s="6">
        <v>16.91</v>
      </c>
      <c r="F187" s="6">
        <v>14.29</v>
      </c>
      <c r="G187" s="7">
        <v>182232500</v>
      </c>
    </row>
    <row r="188" spans="1:7" ht="18" x14ac:dyDescent="0.2">
      <c r="A188" s="5">
        <v>44228</v>
      </c>
      <c r="B188" s="6">
        <v>13.98</v>
      </c>
      <c r="C188" s="6">
        <v>17.260000000000002</v>
      </c>
      <c r="D188" s="6">
        <v>13.74</v>
      </c>
      <c r="E188" s="6">
        <v>16.2</v>
      </c>
      <c r="F188" s="6">
        <v>13.69</v>
      </c>
      <c r="G188" s="7">
        <v>154169300</v>
      </c>
    </row>
    <row r="189" spans="1:7" ht="18" x14ac:dyDescent="0.2">
      <c r="A189" s="5">
        <v>44197</v>
      </c>
      <c r="B189" s="6">
        <v>12.86</v>
      </c>
      <c r="C189" s="6">
        <v>15.48</v>
      </c>
      <c r="D189" s="6">
        <v>12.55</v>
      </c>
      <c r="E189" s="6">
        <v>13.89</v>
      </c>
      <c r="F189" s="6">
        <v>11.74</v>
      </c>
      <c r="G189" s="7">
        <v>109112500</v>
      </c>
    </row>
    <row r="190" spans="1:7" ht="18" x14ac:dyDescent="0.2">
      <c r="A190" s="5">
        <v>44166</v>
      </c>
      <c r="B190" s="6">
        <v>12.53</v>
      </c>
      <c r="C190" s="6">
        <v>13.39</v>
      </c>
      <c r="D190" s="6">
        <v>12.17</v>
      </c>
      <c r="E190" s="6">
        <v>12.76</v>
      </c>
      <c r="F190" s="6">
        <v>10.66</v>
      </c>
      <c r="G190" s="7">
        <v>107964600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5D34-7022-2B42-B767-42AA2FBF36CD}">
  <dimension ref="A1:Q191"/>
  <sheetViews>
    <sheetView topLeftCell="A72" workbookViewId="0">
      <selection activeCell="L68" sqref="L68"/>
    </sheetView>
  </sheetViews>
  <sheetFormatPr baseColWidth="10" defaultRowHeight="16" x14ac:dyDescent="0.2"/>
  <cols>
    <col min="1" max="1" width="12.5" customWidth="1"/>
    <col min="7" max="7" width="17.6640625" customWidth="1"/>
    <col min="11" max="11" width="11.1640625" customWidth="1"/>
  </cols>
  <sheetData>
    <row r="1" spans="1:14" x14ac:dyDescent="0.2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K1" s="4" t="s">
        <v>7</v>
      </c>
      <c r="L1" t="s">
        <v>21</v>
      </c>
      <c r="M1" t="s">
        <v>22</v>
      </c>
      <c r="N1" t="s">
        <v>23</v>
      </c>
    </row>
    <row r="2" spans="1:14" ht="18" x14ac:dyDescent="0.2">
      <c r="A2" s="5">
        <v>43800</v>
      </c>
      <c r="B2" s="6">
        <v>132.31</v>
      </c>
      <c r="C2" s="6">
        <v>140.08000000000001</v>
      </c>
      <c r="D2" s="6">
        <v>128.59</v>
      </c>
      <c r="E2" s="6">
        <v>139.4</v>
      </c>
      <c r="F2" s="6">
        <v>117.01</v>
      </c>
      <c r="G2" s="7">
        <v>212915300</v>
      </c>
      <c r="K2" s="5">
        <v>43800</v>
      </c>
      <c r="L2">
        <f>(F2-F3)/F3</f>
        <v>5.7956600361663752E-2</v>
      </c>
      <c r="M2">
        <f t="shared" ref="M2:M33" si="0">(F66-F67)/F67</f>
        <v>5.6962025316455604E-2</v>
      </c>
      <c r="N2">
        <f t="shared" ref="N2:N33" si="1">(F131-F132)/F132</f>
        <v>-2.6092628832355847E-3</v>
      </c>
    </row>
    <row r="3" spans="1:14" ht="18" x14ac:dyDescent="0.2">
      <c r="A3" s="5">
        <v>43770</v>
      </c>
      <c r="B3" s="6">
        <v>126.2</v>
      </c>
      <c r="C3" s="6">
        <v>132.43</v>
      </c>
      <c r="D3" s="6">
        <v>126.02</v>
      </c>
      <c r="E3" s="6">
        <v>131.76</v>
      </c>
      <c r="F3" s="6">
        <v>110.6</v>
      </c>
      <c r="G3" s="7">
        <v>191200900</v>
      </c>
      <c r="K3" s="5">
        <v>43770</v>
      </c>
      <c r="L3">
        <f t="shared" ref="L2:L33" si="2">(F3-F4)/F4</f>
        <v>6.3257065948855981E-2</v>
      </c>
      <c r="M3">
        <f t="shared" si="0"/>
        <v>6.5567628325215427E-2</v>
      </c>
      <c r="N3">
        <f t="shared" si="1"/>
        <v>5.48165137614679E-2</v>
      </c>
    </row>
    <row r="4" spans="1:14" ht="18" x14ac:dyDescent="0.2">
      <c r="A4" s="5">
        <v>43739</v>
      </c>
      <c r="B4" s="6">
        <v>118.4</v>
      </c>
      <c r="C4" s="6">
        <v>127.42</v>
      </c>
      <c r="D4" s="6">
        <v>110.52</v>
      </c>
      <c r="E4" s="6">
        <v>124.92</v>
      </c>
      <c r="F4" s="6">
        <v>104.02</v>
      </c>
      <c r="G4" s="7">
        <v>251981600</v>
      </c>
      <c r="K4" s="5">
        <v>43739</v>
      </c>
      <c r="L4">
        <f t="shared" si="2"/>
        <v>6.1428571428571388E-2</v>
      </c>
      <c r="M4">
        <f t="shared" si="0"/>
        <v>7.8819725141471425E-2</v>
      </c>
      <c r="N4">
        <f t="shared" si="1"/>
        <v>2.3474178403755867E-2</v>
      </c>
    </row>
    <row r="5" spans="1:14" ht="18" x14ac:dyDescent="0.2">
      <c r="A5" s="5">
        <v>43709</v>
      </c>
      <c r="B5" s="6">
        <v>108.98</v>
      </c>
      <c r="C5" s="6">
        <v>120.4</v>
      </c>
      <c r="D5" s="6">
        <v>107.32</v>
      </c>
      <c r="E5" s="6">
        <v>117.69</v>
      </c>
      <c r="F5" s="6">
        <v>98</v>
      </c>
      <c r="G5" s="7">
        <v>229360700</v>
      </c>
      <c r="K5" s="5">
        <v>43709</v>
      </c>
      <c r="L5">
        <f t="shared" si="2"/>
        <v>7.1272409269785703E-2</v>
      </c>
      <c r="M5">
        <f t="shared" si="0"/>
        <v>6.0437205315045019E-2</v>
      </c>
      <c r="N5">
        <f t="shared" si="1"/>
        <v>9.5397274363589635E-2</v>
      </c>
    </row>
    <row r="6" spans="1:14" ht="18" x14ac:dyDescent="0.2">
      <c r="A6" s="5">
        <v>43678</v>
      </c>
      <c r="B6" s="6">
        <v>115.33</v>
      </c>
      <c r="C6" s="6">
        <v>116.8</v>
      </c>
      <c r="D6" s="6">
        <v>104.34</v>
      </c>
      <c r="E6" s="6">
        <v>109.86</v>
      </c>
      <c r="F6" s="6">
        <v>91.48</v>
      </c>
      <c r="G6" s="7">
        <v>259393900</v>
      </c>
      <c r="K6" s="5">
        <v>43678</v>
      </c>
      <c r="L6">
        <f t="shared" si="2"/>
        <v>-4.6288573811509567E-2</v>
      </c>
      <c r="M6">
        <f t="shared" si="0"/>
        <v>-0.1033820138355112</v>
      </c>
      <c r="N6">
        <f t="shared" si="1"/>
        <v>-3.8090526836507523E-2</v>
      </c>
    </row>
    <row r="7" spans="1:14" ht="18" x14ac:dyDescent="0.2">
      <c r="A7" s="5">
        <v>43647</v>
      </c>
      <c r="B7" s="6">
        <v>113.23</v>
      </c>
      <c r="C7" s="6">
        <v>117.24</v>
      </c>
      <c r="D7" s="6">
        <v>112.15</v>
      </c>
      <c r="E7" s="6">
        <v>116</v>
      </c>
      <c r="F7" s="6">
        <v>95.92</v>
      </c>
      <c r="G7" s="7">
        <v>232008700</v>
      </c>
      <c r="K7" s="5">
        <v>43647</v>
      </c>
      <c r="L7">
        <f t="shared" si="2"/>
        <v>3.7646040675032501E-2</v>
      </c>
      <c r="M7">
        <f t="shared" si="0"/>
        <v>6.3777596075224804E-2</v>
      </c>
      <c r="N7">
        <f t="shared" si="1"/>
        <v>2.3026315789473596E-2</v>
      </c>
    </row>
    <row r="8" spans="1:14" ht="18" x14ac:dyDescent="0.2">
      <c r="A8" s="5">
        <v>43617</v>
      </c>
      <c r="B8" s="6">
        <v>105.8</v>
      </c>
      <c r="C8" s="6">
        <v>112.43</v>
      </c>
      <c r="D8" s="6">
        <v>105.3</v>
      </c>
      <c r="E8" s="6">
        <v>111.8</v>
      </c>
      <c r="F8" s="6">
        <v>92.44</v>
      </c>
      <c r="G8" s="7">
        <v>248214000</v>
      </c>
      <c r="K8" s="5">
        <v>43617</v>
      </c>
      <c r="L8">
        <f t="shared" si="2"/>
        <v>5.5010271627482232E-2</v>
      </c>
      <c r="M8">
        <f t="shared" si="0"/>
        <v>9.0017825311942939E-2</v>
      </c>
      <c r="N8">
        <f t="shared" si="1"/>
        <v>7.6839237057220705E-2</v>
      </c>
    </row>
    <row r="9" spans="1:14" ht="18" x14ac:dyDescent="0.2">
      <c r="A9" s="5">
        <v>43586</v>
      </c>
      <c r="B9" s="6">
        <v>115.72</v>
      </c>
      <c r="C9" s="6">
        <v>117</v>
      </c>
      <c r="D9" s="6">
        <v>104.84</v>
      </c>
      <c r="E9" s="6">
        <v>105.96</v>
      </c>
      <c r="F9" s="6">
        <v>87.62</v>
      </c>
      <c r="G9" s="7">
        <v>230711900</v>
      </c>
      <c r="K9" s="5">
        <v>43586</v>
      </c>
      <c r="L9">
        <f t="shared" si="2"/>
        <v>-7.9911792502362688E-2</v>
      </c>
      <c r="M9">
        <f t="shared" si="0"/>
        <v>-0.12989530825901505</v>
      </c>
      <c r="N9">
        <f t="shared" si="1"/>
        <v>-8.3416583416583326E-2</v>
      </c>
    </row>
    <row r="10" spans="1:14" ht="18" x14ac:dyDescent="0.2">
      <c r="A10" s="5">
        <v>43556</v>
      </c>
      <c r="B10" s="6">
        <v>102.15</v>
      </c>
      <c r="C10" s="6">
        <v>117.16</v>
      </c>
      <c r="D10" s="6">
        <v>102.12</v>
      </c>
      <c r="E10" s="6">
        <v>116.05</v>
      </c>
      <c r="F10" s="6">
        <v>95.23</v>
      </c>
      <c r="G10" s="7">
        <v>252516300</v>
      </c>
      <c r="K10" s="5">
        <v>43556</v>
      </c>
      <c r="L10">
        <f t="shared" si="2"/>
        <v>0.14638256891778031</v>
      </c>
      <c r="M10">
        <f t="shared" si="0"/>
        <v>0.10829394069617532</v>
      </c>
      <c r="N10">
        <f t="shared" si="1"/>
        <v>1.7513134851138425E-3</v>
      </c>
    </row>
    <row r="11" spans="1:14" ht="18" x14ac:dyDescent="0.2">
      <c r="A11" s="5">
        <v>43525</v>
      </c>
      <c r="B11" s="6">
        <v>105.1</v>
      </c>
      <c r="C11" s="6">
        <v>108.4</v>
      </c>
      <c r="D11" s="6">
        <v>98.09</v>
      </c>
      <c r="E11" s="6">
        <v>101.23</v>
      </c>
      <c r="F11" s="6">
        <v>83.07</v>
      </c>
      <c r="G11" s="7">
        <v>306599600</v>
      </c>
      <c r="K11" s="5">
        <v>43525</v>
      </c>
      <c r="L11">
        <f t="shared" si="2"/>
        <v>-3.0009341429238761E-2</v>
      </c>
      <c r="M11">
        <f t="shared" si="0"/>
        <v>-4.6311475409836031E-2</v>
      </c>
      <c r="N11">
        <f t="shared" si="1"/>
        <v>-3.1265147842947143E-2</v>
      </c>
    </row>
    <row r="12" spans="1:14" ht="18" x14ac:dyDescent="0.2">
      <c r="A12" s="5">
        <v>43497</v>
      </c>
      <c r="B12" s="6">
        <v>104</v>
      </c>
      <c r="C12" s="6">
        <v>107.27</v>
      </c>
      <c r="D12" s="6">
        <v>100.06</v>
      </c>
      <c r="E12" s="6">
        <v>104.36</v>
      </c>
      <c r="F12" s="6">
        <v>85.64</v>
      </c>
      <c r="G12" s="7">
        <v>224935100</v>
      </c>
      <c r="K12" s="5">
        <v>43497</v>
      </c>
      <c r="L12">
        <f t="shared" si="2"/>
        <v>1.6498516320474783E-2</v>
      </c>
      <c r="M12">
        <f t="shared" si="0"/>
        <v>2.134784428631218E-2</v>
      </c>
      <c r="N12">
        <f t="shared" si="1"/>
        <v>2.9184335245697045E-2</v>
      </c>
    </row>
    <row r="13" spans="1:14" ht="18" x14ac:dyDescent="0.2">
      <c r="A13" s="5">
        <v>43466</v>
      </c>
      <c r="B13" s="6">
        <v>95.95</v>
      </c>
      <c r="C13" s="6">
        <v>105.24</v>
      </c>
      <c r="D13" s="6">
        <v>95.94</v>
      </c>
      <c r="E13" s="6">
        <v>103.5</v>
      </c>
      <c r="F13" s="6">
        <v>84.25</v>
      </c>
      <c r="G13" s="7">
        <v>325890900</v>
      </c>
      <c r="K13" s="5">
        <v>43466</v>
      </c>
      <c r="L13">
        <f t="shared" si="2"/>
        <v>6.0281902844198425E-2</v>
      </c>
      <c r="M13">
        <f t="shared" si="0"/>
        <v>0.16196498054474717</v>
      </c>
      <c r="N13">
        <f t="shared" si="1"/>
        <v>6.1424410908128148E-2</v>
      </c>
    </row>
    <row r="14" spans="1:14" ht="18" x14ac:dyDescent="0.2">
      <c r="A14" s="5">
        <v>43435</v>
      </c>
      <c r="B14" s="6">
        <v>112.38</v>
      </c>
      <c r="C14" s="6">
        <v>112.89</v>
      </c>
      <c r="D14" s="6">
        <v>91.11</v>
      </c>
      <c r="E14" s="6">
        <v>97.62</v>
      </c>
      <c r="F14" s="6">
        <v>79.459999999999994</v>
      </c>
      <c r="G14" s="7">
        <v>425217000</v>
      </c>
      <c r="K14" s="5">
        <v>43435</v>
      </c>
      <c r="L14">
        <f t="shared" si="2"/>
        <v>-0.12208595735277881</v>
      </c>
      <c r="M14">
        <f t="shared" si="0"/>
        <v>-0.13248945147679328</v>
      </c>
      <c r="N14">
        <f t="shared" si="1"/>
        <v>-0.14431354780244671</v>
      </c>
    </row>
    <row r="15" spans="1:14" ht="18" x14ac:dyDescent="0.2">
      <c r="A15" s="5">
        <v>43405</v>
      </c>
      <c r="B15" s="6">
        <v>109.62</v>
      </c>
      <c r="C15" s="6">
        <v>112.93</v>
      </c>
      <c r="D15" s="6">
        <v>105.98</v>
      </c>
      <c r="E15" s="6">
        <v>111.19</v>
      </c>
      <c r="F15" s="6">
        <v>90.51</v>
      </c>
      <c r="G15" s="7">
        <v>283227700</v>
      </c>
      <c r="K15" s="5">
        <v>43405</v>
      </c>
      <c r="L15">
        <f t="shared" si="2"/>
        <v>2.712210621879256E-2</v>
      </c>
      <c r="M15">
        <f t="shared" si="0"/>
        <v>3.2679738562091505E-2</v>
      </c>
      <c r="N15">
        <f t="shared" si="1"/>
        <v>1.9870609981515699E-2</v>
      </c>
    </row>
    <row r="16" spans="1:14" ht="18" x14ac:dyDescent="0.2">
      <c r="A16" s="5">
        <v>43374</v>
      </c>
      <c r="B16" s="6">
        <v>113.37</v>
      </c>
      <c r="C16" s="6">
        <v>116.81</v>
      </c>
      <c r="D16" s="6">
        <v>102.73</v>
      </c>
      <c r="E16" s="6">
        <v>109.02</v>
      </c>
      <c r="F16" s="6">
        <v>88.12</v>
      </c>
      <c r="G16" s="7">
        <v>433042000</v>
      </c>
      <c r="K16" s="5">
        <v>43374</v>
      </c>
      <c r="L16">
        <f t="shared" si="2"/>
        <v>-3.3877864269268601E-2</v>
      </c>
      <c r="M16">
        <f t="shared" si="0"/>
        <v>-6.2116877809562716E-2</v>
      </c>
      <c r="N16">
        <f t="shared" si="1"/>
        <v>1.2634534394010273E-2</v>
      </c>
    </row>
    <row r="17" spans="1:14" ht="18" x14ac:dyDescent="0.2">
      <c r="A17" s="5">
        <v>43344</v>
      </c>
      <c r="B17" s="6">
        <v>114.34</v>
      </c>
      <c r="C17" s="6">
        <v>119.24</v>
      </c>
      <c r="D17" s="6">
        <v>112.52</v>
      </c>
      <c r="E17" s="6">
        <v>112.84</v>
      </c>
      <c r="F17" s="6">
        <v>91.21</v>
      </c>
      <c r="G17" s="7">
        <v>232549000</v>
      </c>
      <c r="K17" s="5">
        <v>43344</v>
      </c>
      <c r="L17">
        <f t="shared" si="2"/>
        <v>-1.5223493845821752E-2</v>
      </c>
      <c r="M17">
        <f t="shared" si="0"/>
        <v>-4.7489295445698805E-2</v>
      </c>
      <c r="N17">
        <f t="shared" si="1"/>
        <v>-9.468332980300781E-2</v>
      </c>
    </row>
    <row r="18" spans="1:14" ht="18" x14ac:dyDescent="0.2">
      <c r="A18" s="5">
        <v>43313</v>
      </c>
      <c r="B18" s="6">
        <v>115.75</v>
      </c>
      <c r="C18" s="6">
        <v>118.29</v>
      </c>
      <c r="D18" s="6">
        <v>112.97</v>
      </c>
      <c r="E18" s="6">
        <v>114.58</v>
      </c>
      <c r="F18" s="6">
        <v>92.62</v>
      </c>
      <c r="G18" s="7">
        <v>234427900</v>
      </c>
      <c r="K18" s="5">
        <v>43313</v>
      </c>
      <c r="L18">
        <f t="shared" si="2"/>
        <v>2.2724813331891349E-3</v>
      </c>
      <c r="M18">
        <f t="shared" si="0"/>
        <v>1.9500780031201524E-3</v>
      </c>
      <c r="N18">
        <f t="shared" si="1"/>
        <v>2.0977508650519006E-2</v>
      </c>
    </row>
    <row r="19" spans="1:14" ht="18" x14ac:dyDescent="0.2">
      <c r="A19" s="5">
        <v>43282</v>
      </c>
      <c r="B19" s="6">
        <v>103.72</v>
      </c>
      <c r="C19" s="6">
        <v>117.61</v>
      </c>
      <c r="D19" s="6">
        <v>102.2</v>
      </c>
      <c r="E19" s="6">
        <v>114.95</v>
      </c>
      <c r="F19" s="6">
        <v>92.41</v>
      </c>
      <c r="G19" s="7">
        <v>298256100</v>
      </c>
      <c r="K19" s="5">
        <v>43282</v>
      </c>
      <c r="L19">
        <f t="shared" si="2"/>
        <v>0.10313954876447416</v>
      </c>
      <c r="M19">
        <f t="shared" si="0"/>
        <v>9.5258436565570287E-2</v>
      </c>
      <c r="N19">
        <f t="shared" si="1"/>
        <v>3.3296089385474903E-2</v>
      </c>
    </row>
    <row r="20" spans="1:14" ht="18" x14ac:dyDescent="0.2">
      <c r="A20" s="5">
        <v>43252</v>
      </c>
      <c r="B20" s="6">
        <v>108.34</v>
      </c>
      <c r="C20" s="6">
        <v>111.91</v>
      </c>
      <c r="D20" s="6">
        <v>103.11</v>
      </c>
      <c r="E20" s="6">
        <v>104.2</v>
      </c>
      <c r="F20" s="6">
        <v>83.77</v>
      </c>
      <c r="G20" s="7">
        <v>307772000</v>
      </c>
      <c r="K20" s="5">
        <v>43252</v>
      </c>
      <c r="L20">
        <f t="shared" si="2"/>
        <v>-2.6269905846797687E-2</v>
      </c>
      <c r="M20">
        <f t="shared" si="0"/>
        <v>-2.539550374687758E-2</v>
      </c>
      <c r="N20">
        <f t="shared" si="1"/>
        <v>3.4442903374942255E-2</v>
      </c>
    </row>
    <row r="21" spans="1:14" ht="18" x14ac:dyDescent="0.2">
      <c r="A21" s="5">
        <v>43221</v>
      </c>
      <c r="B21" s="6">
        <v>108.45</v>
      </c>
      <c r="C21" s="6">
        <v>114.73</v>
      </c>
      <c r="D21" s="6">
        <v>104.96</v>
      </c>
      <c r="E21" s="6">
        <v>107.01</v>
      </c>
      <c r="F21" s="6">
        <v>86.03</v>
      </c>
      <c r="G21" s="7">
        <v>273649200</v>
      </c>
      <c r="K21" s="5">
        <v>43221</v>
      </c>
      <c r="L21">
        <f t="shared" si="2"/>
        <v>-1.126307320997591E-2</v>
      </c>
      <c r="M21">
        <f t="shared" si="0"/>
        <v>-2.9494949494949511E-2</v>
      </c>
      <c r="N21">
        <f t="shared" si="1"/>
        <v>3.9154455921210557E-2</v>
      </c>
    </row>
    <row r="22" spans="1:14" ht="18" x14ac:dyDescent="0.2">
      <c r="A22" s="5">
        <v>43191</v>
      </c>
      <c r="B22" s="6">
        <v>109.96</v>
      </c>
      <c r="C22" s="6">
        <v>115.15</v>
      </c>
      <c r="D22" s="6">
        <v>106.08</v>
      </c>
      <c r="E22" s="6">
        <v>108.78</v>
      </c>
      <c r="F22" s="6">
        <v>87.01</v>
      </c>
      <c r="G22" s="7">
        <v>340100300</v>
      </c>
      <c r="K22" s="5">
        <v>43191</v>
      </c>
      <c r="L22">
        <f t="shared" si="2"/>
        <v>-1.0800363801727929E-2</v>
      </c>
      <c r="M22">
        <f t="shared" si="0"/>
        <v>1.6187778227437939E-3</v>
      </c>
      <c r="N22">
        <f t="shared" si="1"/>
        <v>-8.573469873779457E-3</v>
      </c>
    </row>
    <row r="23" spans="1:14" ht="18" x14ac:dyDescent="0.2">
      <c r="A23" s="5">
        <v>43160</v>
      </c>
      <c r="B23" s="6">
        <v>115.48</v>
      </c>
      <c r="C23" s="6">
        <v>118.75</v>
      </c>
      <c r="D23" s="6">
        <v>106.65</v>
      </c>
      <c r="E23" s="6">
        <v>109.97</v>
      </c>
      <c r="F23" s="6">
        <v>87.96</v>
      </c>
      <c r="G23" s="7">
        <v>321513800</v>
      </c>
      <c r="K23" s="5">
        <v>43160</v>
      </c>
      <c r="L23">
        <f t="shared" si="2"/>
        <v>-4.7948912219937294E-2</v>
      </c>
      <c r="M23">
        <f t="shared" si="0"/>
        <v>-6.5784499054820353E-2</v>
      </c>
      <c r="N23">
        <f t="shared" si="1"/>
        <v>-9.7377472055030112E-2</v>
      </c>
    </row>
    <row r="24" spans="1:14" ht="18" x14ac:dyDescent="0.2">
      <c r="A24" s="5">
        <v>43132</v>
      </c>
      <c r="B24" s="6">
        <v>115.77</v>
      </c>
      <c r="C24" s="6">
        <v>119.33</v>
      </c>
      <c r="D24" s="6">
        <v>103.98</v>
      </c>
      <c r="E24" s="6">
        <v>115.5</v>
      </c>
      <c r="F24" s="6">
        <v>92.39</v>
      </c>
      <c r="G24" s="7">
        <v>354632300</v>
      </c>
      <c r="K24" s="5">
        <v>43132</v>
      </c>
      <c r="L24">
        <f t="shared" si="2"/>
        <v>3.8026944806605202E-3</v>
      </c>
      <c r="M24">
        <f t="shared" si="0"/>
        <v>3.0337504740234468E-3</v>
      </c>
      <c r="N24">
        <f t="shared" si="1"/>
        <v>-0.11204428326016411</v>
      </c>
    </row>
    <row r="25" spans="1:14" ht="18" x14ac:dyDescent="0.2">
      <c r="A25" s="5">
        <v>43101</v>
      </c>
      <c r="B25" s="6">
        <v>107.63</v>
      </c>
      <c r="C25" s="6">
        <v>117.35</v>
      </c>
      <c r="D25" s="6">
        <v>106.81</v>
      </c>
      <c r="E25" s="6">
        <v>115.67</v>
      </c>
      <c r="F25" s="6">
        <v>92.04</v>
      </c>
      <c r="G25" s="7">
        <v>304940100</v>
      </c>
      <c r="K25" s="5">
        <v>43101</v>
      </c>
      <c r="L25">
        <f t="shared" si="2"/>
        <v>8.1551116333725179E-2</v>
      </c>
      <c r="M25">
        <f t="shared" si="0"/>
        <v>8.4292763157894759E-2</v>
      </c>
      <c r="N25">
        <f t="shared" si="1"/>
        <v>8.4230132450331133E-2</v>
      </c>
    </row>
    <row r="26" spans="1:14" ht="18" x14ac:dyDescent="0.2">
      <c r="A26" s="5">
        <v>43070</v>
      </c>
      <c r="B26" s="6">
        <v>104.9</v>
      </c>
      <c r="C26" s="6">
        <v>108.46</v>
      </c>
      <c r="D26" s="6">
        <v>102.2</v>
      </c>
      <c r="E26" s="6">
        <v>106.94</v>
      </c>
      <c r="F26" s="6">
        <v>85.1</v>
      </c>
      <c r="G26" s="7">
        <v>284432100</v>
      </c>
      <c r="K26" s="5">
        <v>43070</v>
      </c>
      <c r="L26">
        <f t="shared" si="2"/>
        <v>2.3205482746182428E-2</v>
      </c>
      <c r="M26">
        <f t="shared" si="0"/>
        <v>5.2358286456079657E-2</v>
      </c>
      <c r="N26">
        <f t="shared" si="1"/>
        <v>8.1952530228392384E-2</v>
      </c>
    </row>
    <row r="27" spans="1:14" ht="18" x14ac:dyDescent="0.2">
      <c r="A27" s="5">
        <v>43040</v>
      </c>
      <c r="B27" s="6">
        <v>101.1</v>
      </c>
      <c r="C27" s="6">
        <v>106.66</v>
      </c>
      <c r="D27" s="6">
        <v>95.95</v>
      </c>
      <c r="E27" s="6">
        <v>104.52</v>
      </c>
      <c r="F27" s="6">
        <v>83.17</v>
      </c>
      <c r="G27" s="7">
        <v>256086400</v>
      </c>
      <c r="K27" s="5">
        <v>43040</v>
      </c>
      <c r="L27">
        <f t="shared" si="2"/>
        <v>4.4849246231155875E-2</v>
      </c>
      <c r="M27">
        <f t="shared" si="0"/>
        <v>2.8482421005785519E-2</v>
      </c>
      <c r="N27">
        <f t="shared" si="1"/>
        <v>5.8558558558558117E-3</v>
      </c>
    </row>
    <row r="28" spans="1:14" ht="18" x14ac:dyDescent="0.2">
      <c r="A28" s="5">
        <v>43009</v>
      </c>
      <c r="B28" s="6">
        <v>95.77</v>
      </c>
      <c r="C28" s="6">
        <v>102.42</v>
      </c>
      <c r="D28" s="6">
        <v>94.96</v>
      </c>
      <c r="E28" s="6">
        <v>100.61</v>
      </c>
      <c r="F28" s="6">
        <v>79.599999999999994</v>
      </c>
      <c r="G28" s="7">
        <v>259433200</v>
      </c>
      <c r="K28" s="5">
        <v>43009</v>
      </c>
      <c r="L28">
        <f t="shared" si="2"/>
        <v>5.3467443091582738E-2</v>
      </c>
      <c r="M28">
        <f t="shared" si="0"/>
        <v>8.0808080808080801E-2</v>
      </c>
      <c r="N28">
        <f t="shared" si="1"/>
        <v>1.7881705639614883E-2</v>
      </c>
    </row>
    <row r="29" spans="1:14" ht="18" x14ac:dyDescent="0.2">
      <c r="A29" s="5">
        <v>42979</v>
      </c>
      <c r="B29" s="6">
        <v>91.25</v>
      </c>
      <c r="C29" s="6">
        <v>95.88</v>
      </c>
      <c r="D29" s="6">
        <v>88.08</v>
      </c>
      <c r="E29" s="6">
        <v>95.51</v>
      </c>
      <c r="F29" s="6">
        <v>75.56</v>
      </c>
      <c r="G29" s="7">
        <v>250922800</v>
      </c>
      <c r="K29" s="5">
        <v>42979</v>
      </c>
      <c r="L29">
        <f t="shared" si="2"/>
        <v>5.0757891809206035E-2</v>
      </c>
      <c r="M29">
        <f t="shared" si="0"/>
        <v>6.6153846153846105E-2</v>
      </c>
      <c r="N29">
        <f t="shared" si="1"/>
        <v>8.7780548628428823E-2</v>
      </c>
    </row>
    <row r="30" spans="1:14" ht="18" x14ac:dyDescent="0.2">
      <c r="A30" s="5">
        <v>42948</v>
      </c>
      <c r="B30" s="6">
        <v>92.49</v>
      </c>
      <c r="C30" s="6">
        <v>95.22</v>
      </c>
      <c r="D30" s="6">
        <v>90.16</v>
      </c>
      <c r="E30" s="6">
        <v>90.89</v>
      </c>
      <c r="F30" s="6">
        <v>71.91</v>
      </c>
      <c r="G30" s="7">
        <v>253237800</v>
      </c>
      <c r="K30" s="5">
        <v>42948</v>
      </c>
      <c r="L30">
        <f t="shared" si="2"/>
        <v>-4.4302921223869215E-3</v>
      </c>
      <c r="M30">
        <f t="shared" si="0"/>
        <v>-9.6495683087862508E-3</v>
      </c>
      <c r="N30">
        <f t="shared" si="1"/>
        <v>-5.3128689492325853E-2</v>
      </c>
    </row>
    <row r="31" spans="1:14" ht="18" x14ac:dyDescent="0.2">
      <c r="A31" s="5">
        <v>42917</v>
      </c>
      <c r="B31" s="6">
        <v>91.56</v>
      </c>
      <c r="C31" s="6">
        <v>94.51</v>
      </c>
      <c r="D31" s="6">
        <v>90.32</v>
      </c>
      <c r="E31" s="6">
        <v>91.8</v>
      </c>
      <c r="F31" s="6">
        <v>72.23</v>
      </c>
      <c r="G31" s="7">
        <v>271473000</v>
      </c>
      <c r="K31" s="5">
        <v>42917</v>
      </c>
      <c r="L31">
        <f t="shared" si="2"/>
        <v>4.4500069531359671E-3</v>
      </c>
      <c r="M31">
        <f t="shared" si="0"/>
        <v>-5.5555555555555263E-3</v>
      </c>
      <c r="N31">
        <f t="shared" si="1"/>
        <v>-2.6660537807400519E-2</v>
      </c>
    </row>
    <row r="32" spans="1:14" ht="18" x14ac:dyDescent="0.2">
      <c r="A32" s="5">
        <v>42887</v>
      </c>
      <c r="B32" s="6">
        <v>82.46</v>
      </c>
      <c r="C32" s="6">
        <v>92.65</v>
      </c>
      <c r="D32" s="6">
        <v>81.650000000000006</v>
      </c>
      <c r="E32" s="6">
        <v>91.4</v>
      </c>
      <c r="F32" s="6">
        <v>71.91</v>
      </c>
      <c r="G32" s="7">
        <v>334136800</v>
      </c>
      <c r="K32" s="5">
        <v>42887</v>
      </c>
      <c r="L32">
        <f t="shared" si="2"/>
        <v>0.11246905940594053</v>
      </c>
      <c r="M32">
        <f t="shared" si="0"/>
        <v>8.6121777290181029E-2</v>
      </c>
      <c r="N32">
        <f t="shared" si="1"/>
        <v>9.1296714321545042E-2</v>
      </c>
    </row>
    <row r="33" spans="1:14" ht="18" x14ac:dyDescent="0.2">
      <c r="A33" s="5">
        <v>42856</v>
      </c>
      <c r="B33" s="6">
        <v>87.36</v>
      </c>
      <c r="C33" s="6">
        <v>88.09</v>
      </c>
      <c r="D33" s="6">
        <v>81.64</v>
      </c>
      <c r="E33" s="6">
        <v>82.15</v>
      </c>
      <c r="F33" s="6">
        <v>64.64</v>
      </c>
      <c r="G33" s="7">
        <v>283639500</v>
      </c>
      <c r="K33" s="5">
        <v>42856</v>
      </c>
      <c r="L33">
        <f t="shared" si="2"/>
        <v>-5.0249779606229818E-2</v>
      </c>
      <c r="M33">
        <f t="shared" si="0"/>
        <v>-4.002106371774608E-2</v>
      </c>
      <c r="N33">
        <f t="shared" si="1"/>
        <v>-5.0262029537875168E-2</v>
      </c>
    </row>
    <row r="34" spans="1:14" ht="18" x14ac:dyDescent="0.2">
      <c r="A34" s="5">
        <v>42826</v>
      </c>
      <c r="B34" s="6">
        <v>87.99</v>
      </c>
      <c r="C34" s="6">
        <v>89.13</v>
      </c>
      <c r="D34" s="6">
        <v>84.36</v>
      </c>
      <c r="E34" s="6">
        <v>87</v>
      </c>
      <c r="F34" s="6">
        <v>68.06</v>
      </c>
      <c r="G34" s="7">
        <v>321139800</v>
      </c>
      <c r="K34" s="5">
        <v>42826</v>
      </c>
      <c r="L34">
        <f t="shared" ref="L34:L61" si="3">(F34-F35)/F35</f>
        <v>-9.60419091967399E-3</v>
      </c>
      <c r="M34">
        <f t="shared" ref="M34:M61" si="4">(F98-F99)/F99</f>
        <v>-7.8369905956113955E-3</v>
      </c>
      <c r="N34">
        <f t="shared" ref="N34:N61" si="5">(F163-F164)/F164</f>
        <v>-3.2718894009216633E-2</v>
      </c>
    </row>
    <row r="35" spans="1:14" ht="18" x14ac:dyDescent="0.2">
      <c r="A35" s="5">
        <v>42795</v>
      </c>
      <c r="B35" s="6">
        <v>92.79</v>
      </c>
      <c r="C35" s="6">
        <v>93.98</v>
      </c>
      <c r="D35" s="6">
        <v>85.23</v>
      </c>
      <c r="E35" s="6">
        <v>87.84</v>
      </c>
      <c r="F35" s="6">
        <v>68.72</v>
      </c>
      <c r="G35" s="7">
        <v>371669000</v>
      </c>
      <c r="K35" s="5">
        <v>42795</v>
      </c>
      <c r="L35">
        <f t="shared" si="3"/>
        <v>-3.0610805473268467E-2</v>
      </c>
      <c r="M35">
        <f t="shared" si="4"/>
        <v>-4.3956043956043904E-2</v>
      </c>
      <c r="N35">
        <f t="shared" si="5"/>
        <v>-3.1898282400178446E-2</v>
      </c>
    </row>
    <row r="36" spans="1:14" ht="18" x14ac:dyDescent="0.2">
      <c r="A36" s="5">
        <v>42767</v>
      </c>
      <c r="B36" s="6">
        <v>85.54</v>
      </c>
      <c r="C36" s="6">
        <v>91.34</v>
      </c>
      <c r="D36" s="6">
        <v>84.16</v>
      </c>
      <c r="E36" s="6">
        <v>90.62</v>
      </c>
      <c r="F36" s="6">
        <v>70.89</v>
      </c>
      <c r="G36" s="7">
        <v>271414600</v>
      </c>
      <c r="K36" s="5">
        <v>42767</v>
      </c>
      <c r="L36">
        <f t="shared" si="3"/>
        <v>7.6701093560145761E-2</v>
      </c>
      <c r="M36">
        <f t="shared" si="4"/>
        <v>8.9820359281437043E-2</v>
      </c>
      <c r="N36">
        <f t="shared" si="5"/>
        <v>2.7504011001604302E-2</v>
      </c>
    </row>
    <row r="37" spans="1:14" ht="18" x14ac:dyDescent="0.2">
      <c r="A37" s="5">
        <v>42736</v>
      </c>
      <c r="B37" s="6">
        <v>87.34</v>
      </c>
      <c r="C37" s="6">
        <v>88.17</v>
      </c>
      <c r="D37" s="6">
        <v>83.03</v>
      </c>
      <c r="E37" s="6">
        <v>84.63</v>
      </c>
      <c r="F37" s="6">
        <v>65.84</v>
      </c>
      <c r="G37" s="7">
        <v>343161300</v>
      </c>
      <c r="K37" s="5">
        <v>42736</v>
      </c>
      <c r="L37">
        <f t="shared" si="3"/>
        <v>-1.9216445702368423E-2</v>
      </c>
      <c r="M37">
        <f t="shared" si="4"/>
        <v>2.453987730061357E-2</v>
      </c>
      <c r="N37">
        <f t="shared" si="5"/>
        <v>2.2258669165885727E-2</v>
      </c>
    </row>
    <row r="38" spans="1:14" ht="18" x14ac:dyDescent="0.2">
      <c r="A38" s="5">
        <v>42705</v>
      </c>
      <c r="B38" s="6">
        <v>80.650000000000006</v>
      </c>
      <c r="C38" s="6">
        <v>87.39</v>
      </c>
      <c r="D38" s="6">
        <v>80.650000000000006</v>
      </c>
      <c r="E38" s="6">
        <v>86.29</v>
      </c>
      <c r="F38" s="6">
        <v>67.13</v>
      </c>
      <c r="G38" s="7">
        <v>343139500</v>
      </c>
      <c r="K38" s="5">
        <v>42705</v>
      </c>
      <c r="L38">
        <f t="shared" si="3"/>
        <v>7.6318742985409624E-2</v>
      </c>
      <c r="M38">
        <f t="shared" si="4"/>
        <v>5.0380785002929078E-2</v>
      </c>
      <c r="N38">
        <f t="shared" si="5"/>
        <v>4.9938499384993881E-2</v>
      </c>
    </row>
    <row r="39" spans="1:14" ht="18" x14ac:dyDescent="0.2">
      <c r="A39" s="5">
        <v>42675</v>
      </c>
      <c r="B39" s="6">
        <v>69.48</v>
      </c>
      <c r="C39" s="6">
        <v>80.53</v>
      </c>
      <c r="D39" s="6">
        <v>67.64</v>
      </c>
      <c r="E39" s="6">
        <v>80.17</v>
      </c>
      <c r="F39" s="6">
        <v>62.37</v>
      </c>
      <c r="G39" s="7">
        <v>458561900</v>
      </c>
      <c r="K39" s="5">
        <v>42675</v>
      </c>
      <c r="L39">
        <f t="shared" si="3"/>
        <v>0.16579439252336445</v>
      </c>
      <c r="M39">
        <f t="shared" si="4"/>
        <v>0.28057014253563395</v>
      </c>
      <c r="N39">
        <f t="shared" si="5"/>
        <v>0.15025466893039033</v>
      </c>
    </row>
    <row r="40" spans="1:14" ht="18" x14ac:dyDescent="0.2">
      <c r="A40" s="5">
        <v>42644</v>
      </c>
      <c r="B40" s="6">
        <v>66.349999999999994</v>
      </c>
      <c r="C40" s="6">
        <v>69.77</v>
      </c>
      <c r="D40" s="6">
        <v>66.099999999999994</v>
      </c>
      <c r="E40" s="6">
        <v>69.260000000000005</v>
      </c>
      <c r="F40" s="6">
        <v>53.5</v>
      </c>
      <c r="G40" s="7">
        <v>304123000</v>
      </c>
      <c r="K40" s="5">
        <v>42644</v>
      </c>
      <c r="L40">
        <f t="shared" si="3"/>
        <v>4.0248881975500687E-2</v>
      </c>
      <c r="M40">
        <f t="shared" si="4"/>
        <v>5.3754940711462425E-2</v>
      </c>
      <c r="N40">
        <f t="shared" si="5"/>
        <v>3.9106145251396808E-2</v>
      </c>
    </row>
    <row r="41" spans="1:14" ht="18" x14ac:dyDescent="0.2">
      <c r="A41" s="5">
        <v>42614</v>
      </c>
      <c r="B41" s="6">
        <v>67.64</v>
      </c>
      <c r="C41" s="6">
        <v>67.900000000000006</v>
      </c>
      <c r="D41" s="6">
        <v>65.11</v>
      </c>
      <c r="E41" s="6">
        <v>66.59</v>
      </c>
      <c r="F41" s="6">
        <v>51.43</v>
      </c>
      <c r="G41" s="7">
        <v>316507200</v>
      </c>
      <c r="K41" s="5">
        <v>42614</v>
      </c>
      <c r="L41">
        <f t="shared" si="3"/>
        <v>-1.3617184503260469E-2</v>
      </c>
      <c r="M41">
        <f t="shared" si="4"/>
        <v>-2.5423728813559327E-2</v>
      </c>
      <c r="N41">
        <f t="shared" si="5"/>
        <v>-0.12141565486954282</v>
      </c>
    </row>
    <row r="42" spans="1:14" ht="18" x14ac:dyDescent="0.2">
      <c r="A42" s="5">
        <v>42583</v>
      </c>
      <c r="B42" s="6">
        <v>64.150000000000006</v>
      </c>
      <c r="C42" s="6">
        <v>67.77</v>
      </c>
      <c r="D42" s="6">
        <v>63.38</v>
      </c>
      <c r="E42" s="6">
        <v>67.5</v>
      </c>
      <c r="F42" s="6">
        <v>52.14</v>
      </c>
      <c r="G42" s="7">
        <v>263306200</v>
      </c>
      <c r="K42" s="5">
        <v>42583</v>
      </c>
      <c r="L42">
        <f t="shared" si="3"/>
        <v>6.3430552722822747E-2</v>
      </c>
      <c r="M42">
        <f t="shared" si="4"/>
        <v>0.11320754716981134</v>
      </c>
      <c r="N42">
        <f t="shared" si="5"/>
        <v>5.9097127222982319E-2</v>
      </c>
    </row>
    <row r="43" spans="1:14" ht="18" x14ac:dyDescent="0.2">
      <c r="A43" s="5">
        <v>42552</v>
      </c>
      <c r="B43" s="6">
        <v>61.66</v>
      </c>
      <c r="C43" s="6">
        <v>64.98</v>
      </c>
      <c r="D43" s="6">
        <v>58.76</v>
      </c>
      <c r="E43" s="6">
        <v>63.97</v>
      </c>
      <c r="F43" s="6">
        <v>49.03</v>
      </c>
      <c r="G43" s="7">
        <v>283878900</v>
      </c>
      <c r="K43" s="5">
        <v>42552</v>
      </c>
      <c r="L43">
        <f t="shared" si="3"/>
        <v>2.9393239554902341E-2</v>
      </c>
      <c r="M43">
        <f t="shared" si="4"/>
        <v>9.5864661654135291E-2</v>
      </c>
      <c r="N43">
        <f t="shared" si="5"/>
        <v>1.3588463671658205E-2</v>
      </c>
    </row>
    <row r="44" spans="1:14" ht="18" x14ac:dyDescent="0.2">
      <c r="A44" s="5">
        <v>42522</v>
      </c>
      <c r="B44" s="6">
        <v>64.760000000000005</v>
      </c>
      <c r="C44" s="6">
        <v>65.92</v>
      </c>
      <c r="D44" s="6">
        <v>57.05</v>
      </c>
      <c r="E44" s="6">
        <v>62.14</v>
      </c>
      <c r="F44" s="6">
        <v>47.63</v>
      </c>
      <c r="G44" s="7">
        <v>394697700</v>
      </c>
      <c r="K44" s="5">
        <v>42522</v>
      </c>
      <c r="L44">
        <f t="shared" si="3"/>
        <v>-4.7780887644942031E-2</v>
      </c>
      <c r="M44">
        <f t="shared" si="4"/>
        <v>-0.10286677908937596</v>
      </c>
      <c r="N44">
        <f t="shared" si="5"/>
        <v>-5.9713168187744435E-2</v>
      </c>
    </row>
    <row r="45" spans="1:14" ht="18" x14ac:dyDescent="0.2">
      <c r="A45" s="5">
        <v>42491</v>
      </c>
      <c r="B45" s="6">
        <v>63.69</v>
      </c>
      <c r="C45" s="6">
        <v>66.2</v>
      </c>
      <c r="D45" s="6">
        <v>60.59</v>
      </c>
      <c r="E45" s="6">
        <v>65.27</v>
      </c>
      <c r="F45" s="6">
        <v>50.02</v>
      </c>
      <c r="G45" s="7">
        <v>283915300</v>
      </c>
      <c r="K45" s="5">
        <v>42491</v>
      </c>
      <c r="L45">
        <f t="shared" si="3"/>
        <v>4.0349417637271318E-2</v>
      </c>
      <c r="M45">
        <f t="shared" si="4"/>
        <v>1.6281062553556085E-2</v>
      </c>
      <c r="N45">
        <f t="shared" si="5"/>
        <v>1.4818735115109878E-2</v>
      </c>
    </row>
    <row r="46" spans="1:14" ht="18" x14ac:dyDescent="0.2">
      <c r="A46" s="5">
        <v>42461</v>
      </c>
      <c r="B46" s="6">
        <v>59.02</v>
      </c>
      <c r="C46" s="6">
        <v>64.66</v>
      </c>
      <c r="D46" s="6">
        <v>57.07</v>
      </c>
      <c r="E46" s="6">
        <v>63.2</v>
      </c>
      <c r="F46" s="6">
        <v>48.08</v>
      </c>
      <c r="G46" s="7">
        <v>344767700</v>
      </c>
      <c r="K46" s="5">
        <v>42461</v>
      </c>
      <c r="L46">
        <f t="shared" si="3"/>
        <v>6.7258601553829109E-2</v>
      </c>
      <c r="M46">
        <f t="shared" si="4"/>
        <v>8.0555555555555478E-2</v>
      </c>
      <c r="N46">
        <f t="shared" si="5"/>
        <v>3.3360678151490263E-2</v>
      </c>
    </row>
    <row r="47" spans="1:14" ht="18" x14ac:dyDescent="0.2">
      <c r="A47" s="5">
        <v>42430</v>
      </c>
      <c r="B47" s="6">
        <v>56.76</v>
      </c>
      <c r="C47" s="6">
        <v>60.97</v>
      </c>
      <c r="D47" s="6">
        <v>56.67</v>
      </c>
      <c r="E47" s="6">
        <v>59.22</v>
      </c>
      <c r="F47" s="6">
        <v>45.05</v>
      </c>
      <c r="G47" s="7">
        <v>356907400</v>
      </c>
      <c r="K47" s="5">
        <v>42430</v>
      </c>
      <c r="L47">
        <f t="shared" si="3"/>
        <v>5.1832827457389659E-2</v>
      </c>
      <c r="M47">
        <f t="shared" si="4"/>
        <v>8.0000000000000071E-2</v>
      </c>
      <c r="N47">
        <f t="shared" si="5"/>
        <v>3.8625390514058486E-2</v>
      </c>
    </row>
    <row r="48" spans="1:14" ht="18" x14ac:dyDescent="0.2">
      <c r="A48" s="5">
        <v>42401</v>
      </c>
      <c r="B48" s="6">
        <v>59.16</v>
      </c>
      <c r="C48" s="6">
        <v>59.65</v>
      </c>
      <c r="D48" s="6">
        <v>52.5</v>
      </c>
      <c r="E48" s="6">
        <v>56.3</v>
      </c>
      <c r="F48" s="6">
        <v>42.83</v>
      </c>
      <c r="G48" s="7">
        <v>477952300</v>
      </c>
      <c r="K48" s="5">
        <v>42401</v>
      </c>
      <c r="L48">
        <f t="shared" si="3"/>
        <v>-4.7587280409161679E-2</v>
      </c>
      <c r="M48">
        <f t="shared" si="4"/>
        <v>-0.11426040744021251</v>
      </c>
      <c r="N48">
        <f t="shared" si="5"/>
        <v>-6.5799946935526585E-2</v>
      </c>
    </row>
    <row r="49" spans="1:14" ht="18" x14ac:dyDescent="0.2">
      <c r="A49" s="5">
        <v>42370</v>
      </c>
      <c r="B49" s="6">
        <v>63.95</v>
      </c>
      <c r="C49" s="6">
        <v>64.13</v>
      </c>
      <c r="D49" s="6">
        <v>54.66</v>
      </c>
      <c r="E49" s="6">
        <v>59.5</v>
      </c>
      <c r="F49" s="6">
        <v>44.97</v>
      </c>
      <c r="G49" s="7">
        <v>470257300</v>
      </c>
      <c r="K49" s="5">
        <v>42370</v>
      </c>
      <c r="L49">
        <f t="shared" si="3"/>
        <v>-9.8797595190380755E-2</v>
      </c>
      <c r="M49">
        <f t="shared" si="4"/>
        <v>-0.15746268656716428</v>
      </c>
      <c r="N49">
        <f t="shared" si="5"/>
        <v>-7.5999019367492066E-2</v>
      </c>
    </row>
    <row r="50" spans="1:14" ht="18" x14ac:dyDescent="0.2">
      <c r="A50" s="5">
        <v>42339</v>
      </c>
      <c r="B50" s="6">
        <v>67.34</v>
      </c>
      <c r="C50" s="6">
        <v>68</v>
      </c>
      <c r="D50" s="6">
        <v>63.51</v>
      </c>
      <c r="E50" s="6">
        <v>66.03</v>
      </c>
      <c r="F50" s="6">
        <v>49.9</v>
      </c>
      <c r="G50" s="7">
        <v>316546000</v>
      </c>
      <c r="K50" s="5">
        <v>42339</v>
      </c>
      <c r="L50">
        <f t="shared" si="3"/>
        <v>-9.7241516173844408E-3</v>
      </c>
      <c r="M50">
        <f t="shared" si="4"/>
        <v>-3.4582132564841529E-2</v>
      </c>
      <c r="N50">
        <f t="shared" si="5"/>
        <v>-6.5757428153921851E-3</v>
      </c>
    </row>
    <row r="51" spans="1:14" ht="18" x14ac:dyDescent="0.2">
      <c r="A51" s="5">
        <v>42309</v>
      </c>
      <c r="B51" s="6">
        <v>64.45</v>
      </c>
      <c r="C51" s="6">
        <v>69.03</v>
      </c>
      <c r="D51" s="6">
        <v>64.39</v>
      </c>
      <c r="E51" s="6">
        <v>66.680000000000007</v>
      </c>
      <c r="F51" s="6">
        <v>50.39</v>
      </c>
      <c r="G51" s="7">
        <v>248028500</v>
      </c>
      <c r="K51" s="5">
        <v>42309</v>
      </c>
      <c r="L51">
        <f t="shared" si="3"/>
        <v>4.5218834266749629E-2</v>
      </c>
      <c r="M51">
        <f t="shared" si="4"/>
        <v>3.892215568862286E-2</v>
      </c>
      <c r="N51">
        <f t="shared" si="5"/>
        <v>1.7596034696406464E-2</v>
      </c>
    </row>
    <row r="52" spans="1:14" ht="18" x14ac:dyDescent="0.2">
      <c r="A52" s="5">
        <v>42278</v>
      </c>
      <c r="B52" s="6">
        <v>61.12</v>
      </c>
      <c r="C52" s="6">
        <v>65.83</v>
      </c>
      <c r="D52" s="6">
        <v>58.53</v>
      </c>
      <c r="E52" s="6">
        <v>64.25</v>
      </c>
      <c r="F52" s="6">
        <v>48.21</v>
      </c>
      <c r="G52" s="7">
        <v>332436100</v>
      </c>
      <c r="K52" s="5">
        <v>42278</v>
      </c>
      <c r="L52">
        <f t="shared" si="3"/>
        <v>5.3770491803278704E-2</v>
      </c>
      <c r="M52">
        <f t="shared" si="4"/>
        <v>8.0032336297493956E-2</v>
      </c>
      <c r="N52">
        <f t="shared" si="5"/>
        <v>5.4350666318264913E-2</v>
      </c>
    </row>
    <row r="53" spans="1:14" ht="18" x14ac:dyDescent="0.2">
      <c r="A53" s="5">
        <v>42248</v>
      </c>
      <c r="B53" s="6">
        <v>62.85</v>
      </c>
      <c r="C53" s="6">
        <v>64.64</v>
      </c>
      <c r="D53" s="6">
        <v>58.73</v>
      </c>
      <c r="E53" s="6">
        <v>60.97</v>
      </c>
      <c r="F53" s="6">
        <v>45.75</v>
      </c>
      <c r="G53" s="7">
        <v>354030500</v>
      </c>
      <c r="K53" s="5">
        <v>42248</v>
      </c>
      <c r="L53">
        <f t="shared" si="3"/>
        <v>-4.8658764815970125E-2</v>
      </c>
      <c r="M53">
        <f t="shared" si="4"/>
        <v>-4.6260601387818151E-2</v>
      </c>
      <c r="N53">
        <f t="shared" si="5"/>
        <v>-3.0648429584599641E-2</v>
      </c>
    </row>
    <row r="54" spans="1:14" ht="18" x14ac:dyDescent="0.2">
      <c r="A54" s="5">
        <v>42217</v>
      </c>
      <c r="B54" s="6">
        <v>68.59</v>
      </c>
      <c r="C54" s="6">
        <v>69.42</v>
      </c>
      <c r="D54" s="6">
        <v>50.07</v>
      </c>
      <c r="E54" s="6">
        <v>64.099999999999994</v>
      </c>
      <c r="F54" s="6">
        <v>48.09</v>
      </c>
      <c r="G54" s="7">
        <v>373209100</v>
      </c>
      <c r="K54" s="5">
        <v>42217</v>
      </c>
      <c r="L54">
        <f t="shared" si="3"/>
        <v>-5.8535630383711727E-2</v>
      </c>
      <c r="M54">
        <f t="shared" si="4"/>
        <v>-8.5976039464411486E-2</v>
      </c>
      <c r="N54">
        <f t="shared" si="5"/>
        <v>-7.864644107351236E-2</v>
      </c>
    </row>
    <row r="55" spans="1:14" ht="18" x14ac:dyDescent="0.2">
      <c r="A55" s="5">
        <v>42186</v>
      </c>
      <c r="B55" s="6">
        <v>68.12</v>
      </c>
      <c r="C55" s="6">
        <v>70.61</v>
      </c>
      <c r="D55" s="6">
        <v>65.209999999999994</v>
      </c>
      <c r="E55" s="6">
        <v>68.53</v>
      </c>
      <c r="F55" s="6">
        <v>51.08</v>
      </c>
      <c r="G55" s="7">
        <v>325426300</v>
      </c>
      <c r="K55" s="5">
        <v>42186</v>
      </c>
      <c r="L55">
        <f t="shared" si="3"/>
        <v>1.1284894080380128E-2</v>
      </c>
      <c r="M55">
        <f t="shared" si="4"/>
        <v>5.3452115812917506E-2</v>
      </c>
      <c r="N55">
        <f t="shared" si="5"/>
        <v>2.9058597502401556E-2</v>
      </c>
    </row>
    <row r="56" spans="1:14" ht="18" x14ac:dyDescent="0.2">
      <c r="A56" s="5">
        <v>42156</v>
      </c>
      <c r="B56" s="6">
        <v>65.989999999999995</v>
      </c>
      <c r="C56" s="6">
        <v>69.819999999999993</v>
      </c>
      <c r="D56" s="6">
        <v>65.58</v>
      </c>
      <c r="E56" s="6">
        <v>67.760000000000005</v>
      </c>
      <c r="F56" s="6">
        <v>50.51</v>
      </c>
      <c r="G56" s="7">
        <v>337237800</v>
      </c>
      <c r="K56" s="5">
        <v>42156</v>
      </c>
      <c r="L56">
        <f t="shared" si="3"/>
        <v>3.0185600652661571E-2</v>
      </c>
      <c r="M56">
        <f t="shared" si="4"/>
        <v>3.1393568147013794E-2</v>
      </c>
      <c r="N56">
        <f t="shared" si="5"/>
        <v>1.1907654921020704E-2</v>
      </c>
    </row>
    <row r="57" spans="1:14" ht="18" x14ac:dyDescent="0.2">
      <c r="A57" s="5">
        <v>42125</v>
      </c>
      <c r="B57" s="6">
        <v>63.7</v>
      </c>
      <c r="C57" s="6">
        <v>67.19</v>
      </c>
      <c r="D57" s="6">
        <v>63.25</v>
      </c>
      <c r="E57" s="6">
        <v>65.78</v>
      </c>
      <c r="F57" s="6">
        <v>49.03</v>
      </c>
      <c r="G57" s="7">
        <v>267792200</v>
      </c>
      <c r="K57" s="5">
        <v>42125</v>
      </c>
      <c r="L57">
        <f t="shared" si="3"/>
        <v>4.6754910333048627E-2</v>
      </c>
      <c r="M57">
        <f t="shared" si="4"/>
        <v>3.5685963521015156E-2</v>
      </c>
      <c r="N57">
        <f t="shared" si="5"/>
        <v>1.5547877591312818E-2</v>
      </c>
    </row>
    <row r="58" spans="1:14" ht="18" x14ac:dyDescent="0.2">
      <c r="A58" s="5">
        <v>42095</v>
      </c>
      <c r="B58" s="6">
        <v>60.41</v>
      </c>
      <c r="C58" s="6">
        <v>64.48</v>
      </c>
      <c r="D58" s="6">
        <v>59.65</v>
      </c>
      <c r="E58" s="6">
        <v>63.26</v>
      </c>
      <c r="F58" s="6">
        <v>46.84</v>
      </c>
      <c r="G58" s="7">
        <v>325069500</v>
      </c>
      <c r="K58" s="5">
        <v>42095</v>
      </c>
      <c r="L58">
        <f t="shared" si="3"/>
        <v>4.4137316094516363E-2</v>
      </c>
      <c r="M58">
        <f t="shared" si="4"/>
        <v>3.8714991762767617E-2</v>
      </c>
      <c r="N58">
        <f t="shared" si="5"/>
        <v>1.2746813296675959E-2</v>
      </c>
    </row>
    <row r="59" spans="1:14" ht="18" x14ac:dyDescent="0.2">
      <c r="A59" s="5">
        <v>42064</v>
      </c>
      <c r="B59" s="6">
        <v>61.28</v>
      </c>
      <c r="C59" s="6">
        <v>62.87</v>
      </c>
      <c r="D59" s="6">
        <v>58.87</v>
      </c>
      <c r="E59" s="6">
        <v>60.58</v>
      </c>
      <c r="F59" s="6">
        <v>44.86</v>
      </c>
      <c r="G59" s="7">
        <v>332553100</v>
      </c>
      <c r="K59" s="5">
        <v>42064</v>
      </c>
      <c r="L59">
        <f t="shared" si="3"/>
        <v>-1.145879241956816E-2</v>
      </c>
      <c r="M59">
        <f t="shared" si="4"/>
        <v>-2.6463512429831599E-2</v>
      </c>
      <c r="N59">
        <f t="shared" si="5"/>
        <v>-4.9962528103929867E-4</v>
      </c>
    </row>
    <row r="60" spans="1:14" ht="18" x14ac:dyDescent="0.2">
      <c r="A60" s="5">
        <v>42036</v>
      </c>
      <c r="B60" s="6">
        <v>54.53</v>
      </c>
      <c r="C60" s="6">
        <v>61.92</v>
      </c>
      <c r="D60" s="6">
        <v>54.27</v>
      </c>
      <c r="E60" s="6">
        <v>61.28</v>
      </c>
      <c r="F60" s="6">
        <v>45.38</v>
      </c>
      <c r="G60" s="7">
        <v>319008100</v>
      </c>
      <c r="K60" s="5">
        <v>42036</v>
      </c>
      <c r="L60">
        <f t="shared" si="3"/>
        <v>0.13421644588852799</v>
      </c>
      <c r="M60">
        <f t="shared" si="4"/>
        <v>4.351464435146455E-2</v>
      </c>
      <c r="N60">
        <f t="shared" si="5"/>
        <v>5.5365146322172459E-2</v>
      </c>
    </row>
    <row r="61" spans="1:14" ht="18" x14ac:dyDescent="0.2">
      <c r="A61" s="5">
        <v>42005</v>
      </c>
      <c r="B61" s="6">
        <v>62.18</v>
      </c>
      <c r="C61" s="6">
        <v>62.96</v>
      </c>
      <c r="D61" s="6">
        <v>54.37</v>
      </c>
      <c r="E61" s="6">
        <v>54.38</v>
      </c>
      <c r="F61" s="6">
        <v>40.01</v>
      </c>
      <c r="G61" s="7">
        <v>468205900</v>
      </c>
      <c r="K61" s="5">
        <v>42005</v>
      </c>
      <c r="L61">
        <f t="shared" si="3"/>
        <v>-0.13097306689834928</v>
      </c>
      <c r="M61">
        <f t="shared" si="4"/>
        <v>-0.15067519545131491</v>
      </c>
      <c r="N61">
        <f t="shared" si="5"/>
        <v>-5.2933832709113546E-2</v>
      </c>
    </row>
    <row r="62" spans="1:14" ht="18" x14ac:dyDescent="0.2">
      <c r="A62" s="5">
        <v>41974</v>
      </c>
      <c r="B62" s="6">
        <v>59.98</v>
      </c>
      <c r="C62" s="6">
        <v>63.49</v>
      </c>
      <c r="D62" s="6">
        <v>58.11</v>
      </c>
      <c r="E62" s="6">
        <v>62.58</v>
      </c>
      <c r="F62" s="6">
        <v>46.04</v>
      </c>
      <c r="G62" s="7">
        <v>347616300</v>
      </c>
      <c r="K62" s="5"/>
    </row>
    <row r="64" spans="1:14" x14ac:dyDescent="0.2">
      <c r="K64" t="s">
        <v>0</v>
      </c>
      <c r="L64">
        <f>AVERAGE(L2:L61)</f>
        <v>1.7479885364260227E-2</v>
      </c>
      <c r="M64">
        <f>AVERAGE(M2:M61)</f>
        <v>1.5888129246384986E-2</v>
      </c>
      <c r="N64">
        <f>AVERAGE(N2:N61)</f>
        <v>4.018973817657521E-3</v>
      </c>
    </row>
    <row r="65" spans="1:17" x14ac:dyDescent="0.2">
      <c r="A65" s="4" t="s">
        <v>7</v>
      </c>
      <c r="B65" s="4" t="s">
        <v>8</v>
      </c>
      <c r="C65" s="4" t="s">
        <v>9</v>
      </c>
      <c r="D65" s="4" t="s">
        <v>10</v>
      </c>
      <c r="E65" s="4" t="s">
        <v>11</v>
      </c>
      <c r="F65" s="4" t="s">
        <v>12</v>
      </c>
      <c r="G65" s="4" t="s">
        <v>13</v>
      </c>
    </row>
    <row r="66" spans="1:17" ht="18" x14ac:dyDescent="0.2">
      <c r="A66" s="5">
        <v>43800</v>
      </c>
      <c r="B66" s="6">
        <v>33.450000000000003</v>
      </c>
      <c r="C66" s="6">
        <v>35.72</v>
      </c>
      <c r="D66" s="6">
        <v>32.549999999999997</v>
      </c>
      <c r="E66" s="6">
        <v>35.22</v>
      </c>
      <c r="F66" s="6">
        <v>30.06</v>
      </c>
      <c r="G66" s="7">
        <v>941699200</v>
      </c>
      <c r="K66" t="s">
        <v>1</v>
      </c>
      <c r="L66">
        <f>_xlfn.STDEV.S(L2:L61)</f>
        <v>6.100529954880278E-2</v>
      </c>
      <c r="M66">
        <f>_xlfn.STDEV.S(M2:M61)</f>
        <v>8.0521421924284117E-2</v>
      </c>
      <c r="N66">
        <f>_xlfn.STDEV.S(N2:N61)</f>
        <v>5.9328940646431225E-2</v>
      </c>
    </row>
    <row r="67" spans="1:17" ht="18" x14ac:dyDescent="0.2">
      <c r="A67" s="5">
        <v>43770</v>
      </c>
      <c r="B67" s="6">
        <v>31.7</v>
      </c>
      <c r="C67" s="6">
        <v>33.6</v>
      </c>
      <c r="D67" s="6">
        <v>31.37</v>
      </c>
      <c r="E67" s="6">
        <v>33.32</v>
      </c>
      <c r="F67" s="6">
        <v>28.44</v>
      </c>
      <c r="G67" s="7">
        <v>847433200</v>
      </c>
    </row>
    <row r="68" spans="1:17" ht="18" x14ac:dyDescent="0.2">
      <c r="A68" s="5">
        <v>43739</v>
      </c>
      <c r="B68" s="6">
        <v>29.44</v>
      </c>
      <c r="C68" s="6">
        <v>32.229999999999997</v>
      </c>
      <c r="D68" s="6">
        <v>27.16</v>
      </c>
      <c r="E68" s="6">
        <v>31.27</v>
      </c>
      <c r="F68" s="6">
        <v>26.69</v>
      </c>
      <c r="G68" s="7">
        <v>1206828400</v>
      </c>
      <c r="K68" t="s">
        <v>2</v>
      </c>
      <c r="L68">
        <f>_xlfn.COVARIANCE.S(L2:L61,L2:L61)</f>
        <v>3.7216465730391564E-3</v>
      </c>
      <c r="M68">
        <f>_xlfn.COVARIANCE.S(M2:M61,M2:M61)</f>
        <v>6.4836993887085817E-3</v>
      </c>
      <c r="N68">
        <f>_xlfn.COVARIANCE.S(N2:N61,N2:N61)</f>
        <v>3.5199231982277605E-3</v>
      </c>
      <c r="O68">
        <f>_xlfn.COVARIANCE.S(L2:L61,M2:M61)</f>
        <v>4.4706172082789779E-3</v>
      </c>
      <c r="P68">
        <f>_xlfn.COVARIANCE.S(L2:L61,N2:N61)</f>
        <v>2.7605593529766831E-3</v>
      </c>
      <c r="Q68">
        <f>_xlfn.COVARIANCE.S(M2:M61,N2:N61)</f>
        <v>3.7906899065665686E-3</v>
      </c>
    </row>
    <row r="69" spans="1:17" ht="18" x14ac:dyDescent="0.2">
      <c r="A69" s="5">
        <v>43709</v>
      </c>
      <c r="B69" s="6">
        <v>27.21</v>
      </c>
      <c r="C69" s="6">
        <v>30.32</v>
      </c>
      <c r="D69" s="6">
        <v>26.61</v>
      </c>
      <c r="E69" s="6">
        <v>29.17</v>
      </c>
      <c r="F69" s="6">
        <v>24.74</v>
      </c>
      <c r="G69" s="7">
        <v>1202361900</v>
      </c>
      <c r="L69" s="3">
        <v>4.2361111111111113E-2</v>
      </c>
      <c r="M69" s="3">
        <v>8.4722222222222227E-2</v>
      </c>
      <c r="N69" s="3">
        <v>0.12708333333333333</v>
      </c>
      <c r="O69" s="3">
        <v>4.3055555555555555E-2</v>
      </c>
      <c r="P69" s="3">
        <v>4.3749999999999997E-2</v>
      </c>
      <c r="Q69" s="3">
        <v>8.5416666666666669E-2</v>
      </c>
    </row>
    <row r="70" spans="1:17" ht="18" x14ac:dyDescent="0.2">
      <c r="A70" s="5">
        <v>43678</v>
      </c>
      <c r="B70" s="6">
        <v>30.55</v>
      </c>
      <c r="C70" s="6">
        <v>31.07</v>
      </c>
      <c r="D70" s="6">
        <v>26.21</v>
      </c>
      <c r="E70" s="6">
        <v>27.51</v>
      </c>
      <c r="F70" s="6">
        <v>23.33</v>
      </c>
      <c r="G70" s="7">
        <v>1359301200</v>
      </c>
    </row>
    <row r="71" spans="1:17" ht="18" x14ac:dyDescent="0.2">
      <c r="A71" s="5">
        <v>43647</v>
      </c>
      <c r="B71" s="6">
        <v>29.48</v>
      </c>
      <c r="C71" s="6">
        <v>31.06</v>
      </c>
      <c r="D71" s="6">
        <v>28.86</v>
      </c>
      <c r="E71" s="6">
        <v>30.68</v>
      </c>
      <c r="F71" s="6">
        <v>26.02</v>
      </c>
      <c r="G71" s="7">
        <v>963999300</v>
      </c>
      <c r="K71" t="s">
        <v>24</v>
      </c>
    </row>
    <row r="72" spans="1:17" ht="18" x14ac:dyDescent="0.2">
      <c r="A72" s="5">
        <v>43617</v>
      </c>
      <c r="B72" s="6">
        <v>26.59</v>
      </c>
      <c r="C72" s="6">
        <v>29.27</v>
      </c>
      <c r="D72" s="6">
        <v>26.4</v>
      </c>
      <c r="E72" s="6">
        <v>29</v>
      </c>
      <c r="F72" s="6">
        <v>24.46</v>
      </c>
      <c r="G72" s="7">
        <v>987172300</v>
      </c>
      <c r="L72">
        <v>3.72165E-3</v>
      </c>
      <c r="M72">
        <v>4.4706199999999998E-3</v>
      </c>
      <c r="N72">
        <v>2.76056E-3</v>
      </c>
    </row>
    <row r="73" spans="1:17" ht="18" x14ac:dyDescent="0.2">
      <c r="A73" s="5">
        <v>43586</v>
      </c>
      <c r="B73" s="6">
        <v>30.56</v>
      </c>
      <c r="C73" s="6">
        <v>30.89</v>
      </c>
      <c r="D73" s="6">
        <v>26.48</v>
      </c>
      <c r="E73" s="6">
        <v>26.6</v>
      </c>
      <c r="F73" s="6">
        <v>22.44</v>
      </c>
      <c r="G73" s="7">
        <v>1063985700</v>
      </c>
      <c r="L73">
        <v>4.4706199999999998E-3</v>
      </c>
      <c r="M73">
        <v>6.4837000000000002E-3</v>
      </c>
      <c r="N73">
        <v>3.7906900000000002E-3</v>
      </c>
    </row>
    <row r="74" spans="1:17" ht="18" x14ac:dyDescent="0.2">
      <c r="A74" s="5">
        <v>43556</v>
      </c>
      <c r="B74" s="6">
        <v>27.9</v>
      </c>
      <c r="C74" s="6">
        <v>31.17</v>
      </c>
      <c r="D74" s="6">
        <v>27.85</v>
      </c>
      <c r="E74" s="6">
        <v>30.58</v>
      </c>
      <c r="F74" s="6">
        <v>25.79</v>
      </c>
      <c r="G74" s="7">
        <v>1226771800</v>
      </c>
      <c r="L74">
        <v>2.76056E-3</v>
      </c>
      <c r="M74">
        <v>3.7906900000000002E-3</v>
      </c>
      <c r="N74">
        <v>3.5199200000000002E-3</v>
      </c>
    </row>
    <row r="75" spans="1:17" ht="18" x14ac:dyDescent="0.2">
      <c r="A75" s="5">
        <v>43525</v>
      </c>
      <c r="B75" s="6">
        <v>29.33</v>
      </c>
      <c r="C75" s="6">
        <v>30.14</v>
      </c>
      <c r="D75" s="6">
        <v>26.61</v>
      </c>
      <c r="E75" s="6">
        <v>27.59</v>
      </c>
      <c r="F75" s="6">
        <v>23.27</v>
      </c>
      <c r="G75" s="7">
        <v>1240842800</v>
      </c>
    </row>
    <row r="76" spans="1:17" ht="18" x14ac:dyDescent="0.2">
      <c r="A76" s="5">
        <v>43497</v>
      </c>
      <c r="B76" s="6">
        <v>28.6</v>
      </c>
      <c r="C76" s="6">
        <v>29.67</v>
      </c>
      <c r="D76" s="6">
        <v>27.86</v>
      </c>
      <c r="E76" s="6">
        <v>29.08</v>
      </c>
      <c r="F76" s="6">
        <v>24.4</v>
      </c>
      <c r="G76" s="7">
        <v>972624100</v>
      </c>
      <c r="K76" t="s">
        <v>4</v>
      </c>
    </row>
    <row r="77" spans="1:17" ht="18" x14ac:dyDescent="0.2">
      <c r="A77" s="5">
        <v>43466</v>
      </c>
      <c r="B77" s="6">
        <v>24.08</v>
      </c>
      <c r="C77" s="6">
        <v>29.72</v>
      </c>
      <c r="D77" s="6">
        <v>24.01</v>
      </c>
      <c r="E77" s="6">
        <v>28.47</v>
      </c>
      <c r="F77" s="6">
        <v>23.89</v>
      </c>
      <c r="G77" s="7">
        <v>1644923700</v>
      </c>
      <c r="L77" cm="1">
        <f t="array" ref="L77:N79">MINVERSE(L72:N74)</f>
        <v>1606.299697295286</v>
      </c>
      <c r="M77">
        <v>-1001.8115002504248</v>
      </c>
      <c r="N77">
        <v>-180.89327498386083</v>
      </c>
      <c r="P77">
        <v>1</v>
      </c>
    </row>
    <row r="78" spans="1:17" ht="18" x14ac:dyDescent="0.2">
      <c r="A78" s="5">
        <v>43435</v>
      </c>
      <c r="B78" s="6">
        <v>28.99</v>
      </c>
      <c r="C78" s="6">
        <v>29.04</v>
      </c>
      <c r="D78" s="6">
        <v>22.66</v>
      </c>
      <c r="E78" s="6">
        <v>24.64</v>
      </c>
      <c r="F78" s="6">
        <v>20.56</v>
      </c>
      <c r="G78" s="7">
        <v>1812967100</v>
      </c>
      <c r="L78">
        <v>-1001.8115002504247</v>
      </c>
      <c r="M78">
        <v>1041.2282136988613</v>
      </c>
      <c r="N78">
        <v>-335.63621396361953</v>
      </c>
      <c r="P78">
        <v>1</v>
      </c>
    </row>
    <row r="79" spans="1:17" ht="18" x14ac:dyDescent="0.2">
      <c r="A79" s="5">
        <v>43405</v>
      </c>
      <c r="B79" s="6">
        <v>27.77</v>
      </c>
      <c r="C79" s="6">
        <v>29.12</v>
      </c>
      <c r="D79" s="6">
        <v>26.78</v>
      </c>
      <c r="E79" s="6">
        <v>28.4</v>
      </c>
      <c r="F79" s="6">
        <v>23.7</v>
      </c>
      <c r="G79" s="7">
        <v>1119395300</v>
      </c>
      <c r="L79">
        <v>-180.8932749838612</v>
      </c>
      <c r="M79">
        <v>-335.63621396361935</v>
      </c>
      <c r="N79">
        <v>787.42118545285109</v>
      </c>
      <c r="P79">
        <v>1</v>
      </c>
    </row>
    <row r="80" spans="1:17" ht="18" x14ac:dyDescent="0.2">
      <c r="A80" s="5">
        <v>43374</v>
      </c>
      <c r="B80" s="6">
        <v>29.68</v>
      </c>
      <c r="C80" s="6">
        <v>30.79</v>
      </c>
      <c r="D80" s="6">
        <v>25.88</v>
      </c>
      <c r="E80" s="6">
        <v>27.5</v>
      </c>
      <c r="F80" s="6">
        <v>22.95</v>
      </c>
      <c r="G80" s="7">
        <v>1818210500</v>
      </c>
    </row>
    <row r="81" spans="1:14" ht="18" x14ac:dyDescent="0.2">
      <c r="A81" s="5">
        <v>43344</v>
      </c>
      <c r="B81" s="6">
        <v>30.91</v>
      </c>
      <c r="C81" s="6">
        <v>31.37</v>
      </c>
      <c r="D81" s="6">
        <v>29.42</v>
      </c>
      <c r="E81" s="6">
        <v>29.46</v>
      </c>
      <c r="F81" s="6">
        <v>24.47</v>
      </c>
      <c r="G81" s="7">
        <v>1036676400</v>
      </c>
      <c r="L81" cm="1">
        <f t="array" ref="L81:L83">MMULT(MINVERSE(L72:N74),P77:P79)</f>
        <v>423.59492206100037</v>
      </c>
    </row>
    <row r="82" spans="1:14" ht="18" x14ac:dyDescent="0.2">
      <c r="A82" s="5">
        <v>43313</v>
      </c>
      <c r="B82" s="6">
        <v>31.22</v>
      </c>
      <c r="C82" s="6">
        <v>31.91</v>
      </c>
      <c r="D82" s="6">
        <v>30.16</v>
      </c>
      <c r="E82" s="6">
        <v>30.93</v>
      </c>
      <c r="F82" s="6">
        <v>25.69</v>
      </c>
      <c r="G82" s="7">
        <v>1076260100</v>
      </c>
      <c r="L82">
        <v>-296.21950051518297</v>
      </c>
    </row>
    <row r="83" spans="1:14" ht="18" x14ac:dyDescent="0.2">
      <c r="A83" s="5">
        <v>43282</v>
      </c>
      <c r="B83" s="6">
        <v>28.08</v>
      </c>
      <c r="C83" s="6">
        <v>31.45</v>
      </c>
      <c r="D83" s="6">
        <v>27.63</v>
      </c>
      <c r="E83" s="6">
        <v>30.88</v>
      </c>
      <c r="F83" s="6">
        <v>25.64</v>
      </c>
      <c r="G83" s="7">
        <v>1313220000</v>
      </c>
      <c r="L83">
        <v>270.89169650537053</v>
      </c>
      <c r="N83" t="s">
        <v>86</v>
      </c>
    </row>
    <row r="84" spans="1:14" ht="18" x14ac:dyDescent="0.2">
      <c r="A84" s="5">
        <v>43252</v>
      </c>
      <c r="B84" s="6">
        <v>29.49</v>
      </c>
      <c r="C84" s="6">
        <v>30.41</v>
      </c>
      <c r="D84" s="6">
        <v>28.01</v>
      </c>
      <c r="E84" s="6">
        <v>28.19</v>
      </c>
      <c r="F84" s="6">
        <v>23.41</v>
      </c>
      <c r="G84" s="7">
        <v>1377574500</v>
      </c>
      <c r="N84">
        <f>L81/SUM(_xlfn.ANCHORARRAY(L81))</f>
        <v>1.0635950166655666</v>
      </c>
    </row>
    <row r="85" spans="1:14" ht="18" x14ac:dyDescent="0.2">
      <c r="A85" s="5">
        <v>43221</v>
      </c>
      <c r="B85" s="6">
        <v>29.92</v>
      </c>
      <c r="C85" s="6">
        <v>31.36</v>
      </c>
      <c r="D85" s="6">
        <v>28.43</v>
      </c>
      <c r="E85" s="6">
        <v>29.04</v>
      </c>
      <c r="F85" s="6">
        <v>24.02</v>
      </c>
      <c r="G85" s="7">
        <v>1414580700</v>
      </c>
      <c r="N85">
        <f>L82/SUM(_xlfn.ANCHORARRAY(L81))</f>
        <v>-0.74377091928817196</v>
      </c>
    </row>
    <row r="86" spans="1:14" ht="18" x14ac:dyDescent="0.2">
      <c r="A86" s="5">
        <v>43191</v>
      </c>
      <c r="B86" s="6">
        <v>29.8</v>
      </c>
      <c r="C86" s="6">
        <v>31.17</v>
      </c>
      <c r="D86" s="6">
        <v>28.75</v>
      </c>
      <c r="E86" s="6">
        <v>29.92</v>
      </c>
      <c r="F86" s="6">
        <v>24.75</v>
      </c>
      <c r="G86" s="7">
        <v>1471183500</v>
      </c>
      <c r="N86">
        <f>L83/SUM(_xlfn.ANCHORARRAY(L81))</f>
        <v>0.68017590262260552</v>
      </c>
    </row>
    <row r="87" spans="1:14" ht="18" x14ac:dyDescent="0.2">
      <c r="A87" s="5">
        <v>43160</v>
      </c>
      <c r="B87" s="6">
        <v>32.07</v>
      </c>
      <c r="C87" s="6">
        <v>33.049999999999997</v>
      </c>
      <c r="D87" s="6">
        <v>29.01</v>
      </c>
      <c r="E87" s="6">
        <v>29.99</v>
      </c>
      <c r="F87" s="6">
        <v>24.71</v>
      </c>
      <c r="G87" s="7">
        <v>1488464200</v>
      </c>
    </row>
    <row r="88" spans="1:14" ht="18" x14ac:dyDescent="0.2">
      <c r="A88" s="5">
        <v>43132</v>
      </c>
      <c r="B88" s="6">
        <v>32</v>
      </c>
      <c r="C88" s="6">
        <v>32.85</v>
      </c>
      <c r="D88" s="6">
        <v>29.13</v>
      </c>
      <c r="E88" s="6">
        <v>32.1</v>
      </c>
      <c r="F88" s="6">
        <v>26.45</v>
      </c>
      <c r="G88" s="7">
        <v>1705884000</v>
      </c>
      <c r="L88">
        <f>SUM(L77:L79)</f>
        <v>423.59492206100009</v>
      </c>
    </row>
    <row r="89" spans="1:14" ht="18" x14ac:dyDescent="0.2">
      <c r="A89" s="5">
        <v>43101</v>
      </c>
      <c r="B89" s="6">
        <v>29.75</v>
      </c>
      <c r="C89" s="6">
        <v>32.450000000000003</v>
      </c>
      <c r="D89" s="6">
        <v>29.61</v>
      </c>
      <c r="E89" s="6">
        <v>32</v>
      </c>
      <c r="F89" s="6">
        <v>26.37</v>
      </c>
      <c r="G89" s="7">
        <v>1413714500</v>
      </c>
      <c r="L89">
        <f>SUM(M77:M79)</f>
        <v>-296.21950051518292</v>
      </c>
    </row>
    <row r="90" spans="1:14" ht="18" x14ac:dyDescent="0.2">
      <c r="A90" s="5">
        <v>43070</v>
      </c>
      <c r="B90" s="6">
        <v>28.25</v>
      </c>
      <c r="C90" s="6">
        <v>30.03</v>
      </c>
      <c r="D90" s="6">
        <v>27.5</v>
      </c>
      <c r="E90" s="6">
        <v>29.52</v>
      </c>
      <c r="F90" s="6">
        <v>24.32</v>
      </c>
      <c r="G90" s="7">
        <v>1494582400</v>
      </c>
      <c r="L90">
        <f>SUM(N77:N79)</f>
        <v>270.89169650537076</v>
      </c>
    </row>
    <row r="91" spans="1:14" ht="18" x14ac:dyDescent="0.2">
      <c r="A91" s="5">
        <v>43040</v>
      </c>
      <c r="B91" s="6">
        <v>27.64</v>
      </c>
      <c r="C91" s="6">
        <v>28.72</v>
      </c>
      <c r="D91" s="6">
        <v>25.81</v>
      </c>
      <c r="E91" s="6">
        <v>28.17</v>
      </c>
      <c r="F91" s="6">
        <v>23.11</v>
      </c>
      <c r="G91" s="7">
        <v>1350989400</v>
      </c>
      <c r="L91">
        <f>SUM(L88:L90)</f>
        <v>398.26711805118794</v>
      </c>
      <c r="N91" t="s">
        <v>86</v>
      </c>
    </row>
    <row r="92" spans="1:14" ht="18" x14ac:dyDescent="0.2">
      <c r="A92" s="5">
        <v>43009</v>
      </c>
      <c r="B92" s="6">
        <v>25.46</v>
      </c>
      <c r="C92" s="6">
        <v>27.98</v>
      </c>
      <c r="D92" s="6">
        <v>25.12</v>
      </c>
      <c r="E92" s="6">
        <v>27.39</v>
      </c>
      <c r="F92" s="6">
        <v>22.47</v>
      </c>
      <c r="G92" s="7">
        <v>1380163100</v>
      </c>
      <c r="N92">
        <f>1/L91*L88</f>
        <v>1.0635950166655657</v>
      </c>
    </row>
    <row r="93" spans="1:14" ht="18" x14ac:dyDescent="0.2">
      <c r="A93" s="5">
        <v>42979</v>
      </c>
      <c r="B93" s="6">
        <v>23.9</v>
      </c>
      <c r="C93" s="6">
        <v>25.64</v>
      </c>
      <c r="D93" s="6">
        <v>22.75</v>
      </c>
      <c r="E93" s="6">
        <v>25.34</v>
      </c>
      <c r="F93" s="6">
        <v>20.79</v>
      </c>
      <c r="G93" s="7">
        <v>1481992500</v>
      </c>
      <c r="N93">
        <f>1/L91*L89</f>
        <v>-0.74377091928817185</v>
      </c>
    </row>
    <row r="94" spans="1:14" ht="18" x14ac:dyDescent="0.2">
      <c r="A94" s="5">
        <v>42948</v>
      </c>
      <c r="B94" s="6">
        <v>24.29</v>
      </c>
      <c r="C94" s="6">
        <v>25.35</v>
      </c>
      <c r="D94" s="6">
        <v>23.12</v>
      </c>
      <c r="E94" s="6">
        <v>23.89</v>
      </c>
      <c r="F94" s="6">
        <v>19.5</v>
      </c>
      <c r="G94" s="7">
        <v>1354317600</v>
      </c>
      <c r="N94">
        <f>1/L91*L90</f>
        <v>0.68017590262260608</v>
      </c>
    </row>
    <row r="95" spans="1:14" ht="18" x14ac:dyDescent="0.2">
      <c r="A95" s="5">
        <v>42917</v>
      </c>
      <c r="B95" s="6">
        <v>24.46</v>
      </c>
      <c r="C95" s="6">
        <v>25.11</v>
      </c>
      <c r="D95" s="6">
        <v>23.61</v>
      </c>
      <c r="E95" s="6">
        <v>24.12</v>
      </c>
      <c r="F95" s="6">
        <v>19.690000000000001</v>
      </c>
      <c r="G95" s="7">
        <v>1385076400</v>
      </c>
    </row>
    <row r="96" spans="1:14" ht="18" x14ac:dyDescent="0.2">
      <c r="A96" s="5">
        <v>42887</v>
      </c>
      <c r="B96" s="6">
        <v>22.48</v>
      </c>
      <c r="C96" s="6">
        <v>24.67</v>
      </c>
      <c r="D96" s="6">
        <v>22.07</v>
      </c>
      <c r="E96" s="6">
        <v>24.26</v>
      </c>
      <c r="F96" s="6">
        <v>19.8</v>
      </c>
      <c r="G96" s="7">
        <v>1768824400</v>
      </c>
      <c r="K96" t="s">
        <v>20</v>
      </c>
    </row>
    <row r="97" spans="1:15" ht="18" x14ac:dyDescent="0.2">
      <c r="A97" s="5">
        <v>42856</v>
      </c>
      <c r="B97" s="6">
        <v>23.52</v>
      </c>
      <c r="C97" s="6">
        <v>24.31</v>
      </c>
      <c r="D97" s="6">
        <v>22.09</v>
      </c>
      <c r="E97" s="6">
        <v>22.41</v>
      </c>
      <c r="F97" s="6">
        <v>18.23</v>
      </c>
      <c r="G97" s="7">
        <v>1637101600</v>
      </c>
      <c r="L97">
        <f>N92*L64</f>
        <v>1.8591518965312533E-2</v>
      </c>
      <c r="N97" t="s">
        <v>87</v>
      </c>
      <c r="O97" cm="1">
        <f t="array" ref="O97">MMULT(TRANSPOSE(N92:N94), MMULT(L72:N74, N92:N94))</f>
        <v>2.5108776363291768E-3</v>
      </c>
    </row>
    <row r="98" spans="1:15" ht="18" x14ac:dyDescent="0.2">
      <c r="A98" s="5">
        <v>42826</v>
      </c>
      <c r="B98" s="6">
        <v>23.65</v>
      </c>
      <c r="C98" s="6">
        <v>24.35</v>
      </c>
      <c r="D98" s="6">
        <v>22.26</v>
      </c>
      <c r="E98" s="6">
        <v>23.34</v>
      </c>
      <c r="F98" s="6">
        <v>18.989999999999998</v>
      </c>
      <c r="G98" s="7">
        <v>1824451100</v>
      </c>
      <c r="L98">
        <f>N93*M64</f>
        <v>-1.181712849535305E-2</v>
      </c>
      <c r="N98" t="s">
        <v>88</v>
      </c>
      <c r="O98">
        <f>SQRT(O97)</f>
        <v>5.0108658297036618E-2</v>
      </c>
    </row>
    <row r="99" spans="1:15" ht="18" x14ac:dyDescent="0.2">
      <c r="A99" s="5">
        <v>42795</v>
      </c>
      <c r="B99" s="6">
        <v>25.37</v>
      </c>
      <c r="C99" s="6">
        <v>25.8</v>
      </c>
      <c r="D99" s="6">
        <v>22.16</v>
      </c>
      <c r="E99" s="6">
        <v>23.59</v>
      </c>
      <c r="F99" s="6">
        <v>19.14</v>
      </c>
      <c r="G99" s="7">
        <v>2336311300</v>
      </c>
      <c r="L99">
        <f>N94*N64</f>
        <v>2.7336091440418255E-3</v>
      </c>
    </row>
    <row r="100" spans="1:15" ht="18" x14ac:dyDescent="0.2">
      <c r="A100" s="5">
        <v>42767</v>
      </c>
      <c r="B100" s="6">
        <v>22.97</v>
      </c>
      <c r="C100" s="6">
        <v>24.95</v>
      </c>
      <c r="D100" s="6">
        <v>22.45</v>
      </c>
      <c r="E100" s="6">
        <v>24.68</v>
      </c>
      <c r="F100" s="6">
        <v>20.02</v>
      </c>
      <c r="G100" s="7">
        <v>1866619200</v>
      </c>
      <c r="L100">
        <f>SUM(L97:L99)</f>
        <v>9.5079996140013077E-3</v>
      </c>
    </row>
    <row r="101" spans="1:15" ht="18" x14ac:dyDescent="0.2">
      <c r="A101" s="5">
        <v>42736</v>
      </c>
      <c r="B101" s="6">
        <v>22.6</v>
      </c>
      <c r="C101" s="6">
        <v>23.55</v>
      </c>
      <c r="D101" s="6">
        <v>22.01</v>
      </c>
      <c r="E101" s="6">
        <v>22.64</v>
      </c>
      <c r="F101" s="6">
        <v>18.37</v>
      </c>
      <c r="G101" s="7">
        <v>1917358300</v>
      </c>
      <c r="K101">
        <f>(N92)*(L64) + (N93)*(M64) + (N94)*(N64)</f>
        <v>9.5079996140013077E-3</v>
      </c>
    </row>
    <row r="102" spans="1:15" ht="18" x14ac:dyDescent="0.2">
      <c r="A102" s="5">
        <v>42705</v>
      </c>
      <c r="B102" s="6">
        <v>21.42</v>
      </c>
      <c r="C102" s="6">
        <v>23.39</v>
      </c>
      <c r="D102" s="6">
        <v>21.02</v>
      </c>
      <c r="E102" s="6">
        <v>22.1</v>
      </c>
      <c r="F102" s="6">
        <v>17.93</v>
      </c>
      <c r="G102" s="7">
        <v>2442427700</v>
      </c>
    </row>
    <row r="103" spans="1:15" ht="18" x14ac:dyDescent="0.2">
      <c r="A103" s="5">
        <v>42675</v>
      </c>
      <c r="B103" s="6">
        <v>16.559999999999999</v>
      </c>
      <c r="C103" s="6">
        <v>21.19</v>
      </c>
      <c r="D103" s="6">
        <v>16.28</v>
      </c>
      <c r="E103" s="6">
        <v>21.12</v>
      </c>
      <c r="F103" s="6">
        <v>17.07</v>
      </c>
      <c r="G103" s="7">
        <v>3121614500</v>
      </c>
    </row>
    <row r="104" spans="1:15" ht="18" x14ac:dyDescent="0.2">
      <c r="A104" s="5">
        <v>42644</v>
      </c>
      <c r="B104" s="6">
        <v>15.59</v>
      </c>
      <c r="C104" s="6">
        <v>17.100000000000001</v>
      </c>
      <c r="D104" s="6">
        <v>15.5</v>
      </c>
      <c r="E104" s="6">
        <v>16.5</v>
      </c>
      <c r="F104" s="6">
        <v>13.33</v>
      </c>
      <c r="G104" s="7">
        <v>1723132300</v>
      </c>
    </row>
    <row r="105" spans="1:15" ht="18" x14ac:dyDescent="0.2">
      <c r="A105" s="5">
        <v>42614</v>
      </c>
      <c r="B105" s="6">
        <v>16.149999999999999</v>
      </c>
      <c r="C105" s="6">
        <v>16.149999999999999</v>
      </c>
      <c r="D105" s="6">
        <v>14.81</v>
      </c>
      <c r="E105" s="6">
        <v>15.65</v>
      </c>
      <c r="F105" s="6">
        <v>12.65</v>
      </c>
      <c r="G105" s="7">
        <v>1825500700</v>
      </c>
    </row>
    <row r="106" spans="1:15" ht="18" x14ac:dyDescent="0.2">
      <c r="A106" s="5">
        <v>42583</v>
      </c>
      <c r="B106" s="6">
        <v>14.52</v>
      </c>
      <c r="C106" s="6">
        <v>16.239999999999998</v>
      </c>
      <c r="D106" s="6">
        <v>14.09</v>
      </c>
      <c r="E106" s="6">
        <v>16.14</v>
      </c>
      <c r="F106" s="6">
        <v>12.98</v>
      </c>
      <c r="G106" s="7">
        <v>1813474400</v>
      </c>
    </row>
    <row r="107" spans="1:15" ht="18" x14ac:dyDescent="0.2">
      <c r="A107" s="5">
        <v>42552</v>
      </c>
      <c r="B107" s="6">
        <v>13.19</v>
      </c>
      <c r="C107" s="6">
        <v>14.7</v>
      </c>
      <c r="D107" s="6">
        <v>12.45</v>
      </c>
      <c r="E107" s="6">
        <v>14.49</v>
      </c>
      <c r="F107" s="6">
        <v>11.66</v>
      </c>
      <c r="G107" s="7">
        <v>1701679800</v>
      </c>
    </row>
    <row r="108" spans="1:15" ht="18" x14ac:dyDescent="0.2">
      <c r="A108" s="5">
        <v>42522</v>
      </c>
      <c r="B108" s="6">
        <v>14.6</v>
      </c>
      <c r="C108" s="6">
        <v>14.98</v>
      </c>
      <c r="D108" s="6">
        <v>12.05</v>
      </c>
      <c r="E108" s="6">
        <v>13.27</v>
      </c>
      <c r="F108" s="6">
        <v>10.64</v>
      </c>
      <c r="G108" s="7">
        <v>2285807400</v>
      </c>
    </row>
    <row r="109" spans="1:15" ht="18" x14ac:dyDescent="0.2">
      <c r="A109" s="5">
        <v>42491</v>
      </c>
      <c r="B109" s="6">
        <v>14.58</v>
      </c>
      <c r="C109" s="6">
        <v>15.15</v>
      </c>
      <c r="D109" s="6">
        <v>13.8</v>
      </c>
      <c r="E109" s="6">
        <v>14.79</v>
      </c>
      <c r="F109" s="6">
        <v>11.86</v>
      </c>
      <c r="G109" s="7">
        <v>1742193700</v>
      </c>
    </row>
    <row r="110" spans="1:15" ht="18" x14ac:dyDescent="0.2">
      <c r="A110" s="5">
        <v>42461</v>
      </c>
      <c r="B110" s="6">
        <v>13.47</v>
      </c>
      <c r="C110" s="6">
        <v>15.3</v>
      </c>
      <c r="D110" s="6">
        <v>12.75</v>
      </c>
      <c r="E110" s="6">
        <v>14.56</v>
      </c>
      <c r="F110" s="6">
        <v>11.67</v>
      </c>
      <c r="G110" s="7">
        <v>2023974200</v>
      </c>
    </row>
    <row r="111" spans="1:15" ht="18" x14ac:dyDescent="0.2">
      <c r="A111" s="5">
        <v>42430</v>
      </c>
      <c r="B111" s="6">
        <v>12.64</v>
      </c>
      <c r="C111" s="6">
        <v>14.03</v>
      </c>
      <c r="D111" s="6">
        <v>12.62</v>
      </c>
      <c r="E111" s="6">
        <v>13.52</v>
      </c>
      <c r="F111" s="6">
        <v>10.8</v>
      </c>
      <c r="G111" s="7">
        <v>2415683100</v>
      </c>
    </row>
    <row r="112" spans="1:15" ht="18" x14ac:dyDescent="0.2">
      <c r="A112" s="5">
        <v>42401</v>
      </c>
      <c r="B112" s="6">
        <v>14.05</v>
      </c>
      <c r="C112" s="6">
        <v>14.09</v>
      </c>
      <c r="D112" s="6">
        <v>10.99</v>
      </c>
      <c r="E112" s="6">
        <v>12.52</v>
      </c>
      <c r="F112" s="6">
        <v>10</v>
      </c>
      <c r="G112" s="7">
        <v>3571160300</v>
      </c>
    </row>
    <row r="113" spans="1:7" ht="18" x14ac:dyDescent="0.2">
      <c r="A113" s="5">
        <v>42370</v>
      </c>
      <c r="B113" s="6">
        <v>16.45</v>
      </c>
      <c r="C113" s="6">
        <v>16.59</v>
      </c>
      <c r="D113" s="6">
        <v>12.94</v>
      </c>
      <c r="E113" s="6">
        <v>14.14</v>
      </c>
      <c r="F113" s="6">
        <v>11.29</v>
      </c>
      <c r="G113" s="7">
        <v>2648604300</v>
      </c>
    </row>
    <row r="114" spans="1:7" ht="18" x14ac:dyDescent="0.2">
      <c r="A114" s="5">
        <v>42339</v>
      </c>
      <c r="B114" s="6">
        <v>17.52</v>
      </c>
      <c r="C114" s="6">
        <v>17.89</v>
      </c>
      <c r="D114" s="6">
        <v>16.5</v>
      </c>
      <c r="E114" s="6">
        <v>16.829999999999998</v>
      </c>
      <c r="F114" s="6">
        <v>13.4</v>
      </c>
      <c r="G114" s="7">
        <v>1771496200</v>
      </c>
    </row>
    <row r="115" spans="1:7" ht="18" x14ac:dyDescent="0.2">
      <c r="A115" s="5">
        <v>42309</v>
      </c>
      <c r="B115" s="6">
        <v>16.899999999999999</v>
      </c>
      <c r="C115" s="6">
        <v>18.09</v>
      </c>
      <c r="D115" s="6">
        <v>16.87</v>
      </c>
      <c r="E115" s="6">
        <v>17.43</v>
      </c>
      <c r="F115" s="6">
        <v>13.88</v>
      </c>
      <c r="G115" s="7">
        <v>1439390500</v>
      </c>
    </row>
    <row r="116" spans="1:7" ht="18" x14ac:dyDescent="0.2">
      <c r="A116" s="5">
        <v>42278</v>
      </c>
      <c r="B116" s="6">
        <v>15.52</v>
      </c>
      <c r="C116" s="6">
        <v>17.440000000000001</v>
      </c>
      <c r="D116" s="6">
        <v>14.63</v>
      </c>
      <c r="E116" s="6">
        <v>16.78</v>
      </c>
      <c r="F116" s="6">
        <v>13.36</v>
      </c>
      <c r="G116" s="7">
        <v>1848594500</v>
      </c>
    </row>
    <row r="117" spans="1:7" ht="18" x14ac:dyDescent="0.2">
      <c r="A117" s="5">
        <v>42248</v>
      </c>
      <c r="B117" s="6">
        <v>15.95</v>
      </c>
      <c r="C117" s="6">
        <v>16.48</v>
      </c>
      <c r="D117" s="6">
        <v>15.25</v>
      </c>
      <c r="E117" s="6">
        <v>15.58</v>
      </c>
      <c r="F117" s="6">
        <v>12.37</v>
      </c>
      <c r="G117" s="7">
        <v>1777912500</v>
      </c>
    </row>
    <row r="118" spans="1:7" ht="18" x14ac:dyDescent="0.2">
      <c r="A118" s="5">
        <v>42217</v>
      </c>
      <c r="B118" s="6">
        <v>17.91</v>
      </c>
      <c r="C118" s="6">
        <v>18.07</v>
      </c>
      <c r="D118" s="6">
        <v>14.6</v>
      </c>
      <c r="E118" s="6">
        <v>16.34</v>
      </c>
      <c r="F118" s="6">
        <v>12.97</v>
      </c>
      <c r="G118" s="7">
        <v>2028674500</v>
      </c>
    </row>
    <row r="119" spans="1:7" ht="18" x14ac:dyDescent="0.2">
      <c r="A119" s="5">
        <v>42186</v>
      </c>
      <c r="B119" s="6">
        <v>17.25</v>
      </c>
      <c r="C119" s="6">
        <v>18.48</v>
      </c>
      <c r="D119" s="6">
        <v>16.22</v>
      </c>
      <c r="E119" s="6">
        <v>17.88</v>
      </c>
      <c r="F119" s="6">
        <v>14.19</v>
      </c>
      <c r="G119" s="7">
        <v>1904433600</v>
      </c>
    </row>
    <row r="120" spans="1:7" ht="18" x14ac:dyDescent="0.2">
      <c r="A120" s="5">
        <v>42156</v>
      </c>
      <c r="B120" s="6">
        <v>16.579999999999998</v>
      </c>
      <c r="C120" s="6">
        <v>17.72</v>
      </c>
      <c r="D120" s="6">
        <v>16.47</v>
      </c>
      <c r="E120" s="6">
        <v>17.02</v>
      </c>
      <c r="F120" s="6">
        <v>13.47</v>
      </c>
      <c r="G120" s="7">
        <v>1659993000</v>
      </c>
    </row>
    <row r="121" spans="1:7" ht="18" x14ac:dyDescent="0.2">
      <c r="A121" s="5">
        <v>42125</v>
      </c>
      <c r="B121" s="6">
        <v>16</v>
      </c>
      <c r="C121" s="6">
        <v>16.850000000000001</v>
      </c>
      <c r="D121" s="6">
        <v>15.92</v>
      </c>
      <c r="E121" s="6">
        <v>16.5</v>
      </c>
      <c r="F121" s="6">
        <v>13.06</v>
      </c>
      <c r="G121" s="7">
        <v>1403264600</v>
      </c>
    </row>
    <row r="122" spans="1:7" ht="18" x14ac:dyDescent="0.2">
      <c r="A122" s="5">
        <v>42095</v>
      </c>
      <c r="B122" s="6">
        <v>15.42</v>
      </c>
      <c r="C122" s="6">
        <v>16.05</v>
      </c>
      <c r="D122" s="6">
        <v>15.25</v>
      </c>
      <c r="E122" s="6">
        <v>15.93</v>
      </c>
      <c r="F122" s="6">
        <v>12.61</v>
      </c>
      <c r="G122" s="7">
        <v>1464221900</v>
      </c>
    </row>
    <row r="123" spans="1:7" ht="18" x14ac:dyDescent="0.2">
      <c r="A123" s="5">
        <v>42064</v>
      </c>
      <c r="B123" s="6">
        <v>15.79</v>
      </c>
      <c r="C123" s="6">
        <v>16.62</v>
      </c>
      <c r="D123" s="6">
        <v>15.26</v>
      </c>
      <c r="E123" s="6">
        <v>15.39</v>
      </c>
      <c r="F123" s="6">
        <v>12.14</v>
      </c>
      <c r="G123" s="7">
        <v>1855236900</v>
      </c>
    </row>
    <row r="124" spans="1:7" ht="18" x14ac:dyDescent="0.2">
      <c r="A124" s="5">
        <v>42036</v>
      </c>
      <c r="B124" s="6">
        <v>15.27</v>
      </c>
      <c r="C124" s="6">
        <v>16.79</v>
      </c>
      <c r="D124" s="6">
        <v>15.12</v>
      </c>
      <c r="E124" s="6">
        <v>15.81</v>
      </c>
      <c r="F124" s="6">
        <v>12.47</v>
      </c>
      <c r="G124" s="7">
        <v>1910757200</v>
      </c>
    </row>
    <row r="125" spans="1:7" ht="18" x14ac:dyDescent="0.2">
      <c r="A125" s="5">
        <v>42005</v>
      </c>
      <c r="B125" s="6">
        <v>17.989999999999998</v>
      </c>
      <c r="C125" s="6">
        <v>18.03</v>
      </c>
      <c r="D125" s="6">
        <v>14.97</v>
      </c>
      <c r="E125" s="6">
        <v>15.15</v>
      </c>
      <c r="F125" s="6">
        <v>11.95</v>
      </c>
      <c r="G125" s="7">
        <v>2211366600</v>
      </c>
    </row>
    <row r="126" spans="1:7" ht="18" x14ac:dyDescent="0.2">
      <c r="A126" s="5">
        <v>41974</v>
      </c>
      <c r="B126" s="6">
        <v>16.920000000000002</v>
      </c>
      <c r="C126" s="6">
        <v>18.21</v>
      </c>
      <c r="D126" s="6">
        <v>16.59</v>
      </c>
      <c r="E126" s="6">
        <v>17.89</v>
      </c>
      <c r="F126" s="6">
        <v>14.07</v>
      </c>
      <c r="G126" s="7">
        <v>1712060700</v>
      </c>
    </row>
    <row r="130" spans="1:7" x14ac:dyDescent="0.2">
      <c r="A130" s="4" t="s">
        <v>7</v>
      </c>
      <c r="B130" s="4" t="s">
        <v>8</v>
      </c>
      <c r="C130" s="4" t="s">
        <v>9</v>
      </c>
      <c r="D130" s="4" t="s">
        <v>10</v>
      </c>
      <c r="E130" s="4" t="s">
        <v>11</v>
      </c>
      <c r="F130" s="4" t="s">
        <v>12</v>
      </c>
      <c r="G130" s="4" t="s">
        <v>13</v>
      </c>
    </row>
    <row r="131" spans="1:7" ht="18" x14ac:dyDescent="0.2">
      <c r="A131" s="5">
        <v>43800</v>
      </c>
      <c r="B131" s="6">
        <v>54.31</v>
      </c>
      <c r="C131" s="6">
        <v>54.56</v>
      </c>
      <c r="D131" s="6">
        <v>52.17</v>
      </c>
      <c r="E131" s="6">
        <v>53.8</v>
      </c>
      <c r="F131" s="6">
        <v>45.87</v>
      </c>
      <c r="G131" s="7">
        <v>390643100</v>
      </c>
    </row>
    <row r="132" spans="1:7" ht="18" x14ac:dyDescent="0.2">
      <c r="A132" s="5">
        <v>43770</v>
      </c>
      <c r="B132" s="6">
        <v>52.13</v>
      </c>
      <c r="C132" s="6">
        <v>54.75</v>
      </c>
      <c r="D132" s="6">
        <v>51.91</v>
      </c>
      <c r="E132" s="6">
        <v>54.46</v>
      </c>
      <c r="F132" s="6">
        <v>45.99</v>
      </c>
      <c r="G132" s="7">
        <v>328835000</v>
      </c>
    </row>
    <row r="133" spans="1:7" ht="18" x14ac:dyDescent="0.2">
      <c r="A133" s="5">
        <v>43739</v>
      </c>
      <c r="B133" s="6">
        <v>50.65</v>
      </c>
      <c r="C133" s="6">
        <v>52.36</v>
      </c>
      <c r="D133" s="6">
        <v>47.32</v>
      </c>
      <c r="E133" s="6">
        <v>51.63</v>
      </c>
      <c r="F133" s="6">
        <v>43.6</v>
      </c>
      <c r="G133" s="7">
        <v>463966700</v>
      </c>
    </row>
    <row r="134" spans="1:7" ht="18" x14ac:dyDescent="0.2">
      <c r="A134" s="5">
        <v>43709</v>
      </c>
      <c r="B134" s="6">
        <v>46.31</v>
      </c>
      <c r="C134" s="6">
        <v>51.41</v>
      </c>
      <c r="D134" s="6">
        <v>45.48</v>
      </c>
      <c r="E134" s="6">
        <v>50.44</v>
      </c>
      <c r="F134" s="6">
        <v>42.6</v>
      </c>
      <c r="G134" s="7">
        <v>468177600</v>
      </c>
    </row>
    <row r="135" spans="1:7" ht="18" x14ac:dyDescent="0.2">
      <c r="A135" s="5">
        <v>43678</v>
      </c>
      <c r="B135" s="6">
        <v>48.41</v>
      </c>
      <c r="C135" s="6">
        <v>48.64</v>
      </c>
      <c r="D135" s="6">
        <v>43.34</v>
      </c>
      <c r="E135" s="6">
        <v>46.57</v>
      </c>
      <c r="F135" s="6">
        <v>38.89</v>
      </c>
      <c r="G135" s="7">
        <v>424863900</v>
      </c>
    </row>
    <row r="136" spans="1:7" ht="18" x14ac:dyDescent="0.2">
      <c r="A136" s="5">
        <v>43647</v>
      </c>
      <c r="B136" s="6">
        <v>47.88</v>
      </c>
      <c r="C136" s="6">
        <v>49.57</v>
      </c>
      <c r="D136" s="6">
        <v>45.14</v>
      </c>
      <c r="E136" s="6">
        <v>48.41</v>
      </c>
      <c r="F136" s="6">
        <v>40.43</v>
      </c>
      <c r="G136" s="7">
        <v>411656700</v>
      </c>
    </row>
    <row r="137" spans="1:7" ht="18" x14ac:dyDescent="0.2">
      <c r="A137" s="5">
        <v>43617</v>
      </c>
      <c r="B137" s="6">
        <v>44.24</v>
      </c>
      <c r="C137" s="6">
        <v>47.7</v>
      </c>
      <c r="D137" s="6">
        <v>44.2</v>
      </c>
      <c r="E137" s="6">
        <v>47.32</v>
      </c>
      <c r="F137" s="6">
        <v>39.520000000000003</v>
      </c>
      <c r="G137" s="7">
        <v>382936800</v>
      </c>
    </row>
    <row r="138" spans="1:7" ht="18" x14ac:dyDescent="0.2">
      <c r="A138" s="5">
        <v>43586</v>
      </c>
      <c r="B138" s="6">
        <v>48.32</v>
      </c>
      <c r="C138" s="6">
        <v>48.85</v>
      </c>
      <c r="D138" s="6">
        <v>44.22</v>
      </c>
      <c r="E138" s="6">
        <v>44.37</v>
      </c>
      <c r="F138" s="6">
        <v>36.700000000000003</v>
      </c>
      <c r="G138" s="7">
        <v>413827600</v>
      </c>
    </row>
    <row r="139" spans="1:7" ht="18" x14ac:dyDescent="0.2">
      <c r="A139" s="5">
        <v>43556</v>
      </c>
      <c r="B139" s="6">
        <v>48.43</v>
      </c>
      <c r="C139" s="6">
        <v>49.68</v>
      </c>
      <c r="D139" s="6">
        <v>45.66</v>
      </c>
      <c r="E139" s="6">
        <v>48.41</v>
      </c>
      <c r="F139" s="6">
        <v>40.04</v>
      </c>
      <c r="G139" s="7">
        <v>556953700</v>
      </c>
    </row>
    <row r="140" spans="1:7" ht="18" x14ac:dyDescent="0.2">
      <c r="A140" s="5">
        <v>43525</v>
      </c>
      <c r="B140" s="6">
        <v>50.23</v>
      </c>
      <c r="C140" s="6">
        <v>52.42</v>
      </c>
      <c r="D140" s="6">
        <v>47.8</v>
      </c>
      <c r="E140" s="6">
        <v>48.32</v>
      </c>
      <c r="F140" s="6">
        <v>39.97</v>
      </c>
      <c r="G140" s="7">
        <v>463436000</v>
      </c>
    </row>
    <row r="141" spans="1:7" ht="18" x14ac:dyDescent="0.2">
      <c r="A141" s="5">
        <v>43497</v>
      </c>
      <c r="B141" s="6">
        <v>49</v>
      </c>
      <c r="C141" s="6">
        <v>50.23</v>
      </c>
      <c r="D141" s="6">
        <v>47.06</v>
      </c>
      <c r="E141" s="6">
        <v>49.89</v>
      </c>
      <c r="F141" s="6">
        <v>41.26</v>
      </c>
      <c r="G141" s="7">
        <v>331490100</v>
      </c>
    </row>
    <row r="142" spans="1:7" ht="18" x14ac:dyDescent="0.2">
      <c r="A142" s="5">
        <v>43466</v>
      </c>
      <c r="B142" s="6">
        <v>45.53</v>
      </c>
      <c r="C142" s="6">
        <v>50.54</v>
      </c>
      <c r="D142" s="6">
        <v>45.41</v>
      </c>
      <c r="E142" s="6">
        <v>48.91</v>
      </c>
      <c r="F142" s="6">
        <v>40.090000000000003</v>
      </c>
      <c r="G142" s="7">
        <v>470423300</v>
      </c>
    </row>
    <row r="143" spans="1:7" ht="18" x14ac:dyDescent="0.2">
      <c r="A143" s="5">
        <v>43435</v>
      </c>
      <c r="B143" s="6">
        <v>54.78</v>
      </c>
      <c r="C143" s="6">
        <v>55.04</v>
      </c>
      <c r="D143" s="6">
        <v>43.02</v>
      </c>
      <c r="E143" s="6">
        <v>46.08</v>
      </c>
      <c r="F143" s="6">
        <v>37.770000000000003</v>
      </c>
      <c r="G143" s="7">
        <v>597259600</v>
      </c>
    </row>
    <row r="144" spans="1:7" ht="18" x14ac:dyDescent="0.2">
      <c r="A144" s="5">
        <v>43405</v>
      </c>
      <c r="B144" s="6">
        <v>53.43</v>
      </c>
      <c r="C144" s="6">
        <v>54.63</v>
      </c>
      <c r="D144" s="6">
        <v>51.16</v>
      </c>
      <c r="E144" s="6">
        <v>54.28</v>
      </c>
      <c r="F144" s="6">
        <v>44.14</v>
      </c>
      <c r="G144" s="7">
        <v>419240800</v>
      </c>
    </row>
    <row r="145" spans="1:7" ht="18" x14ac:dyDescent="0.2">
      <c r="A145" s="5">
        <v>43374</v>
      </c>
      <c r="B145" s="6">
        <v>52.74</v>
      </c>
      <c r="C145" s="6">
        <v>55.01</v>
      </c>
      <c r="D145" s="6">
        <v>50.02</v>
      </c>
      <c r="E145" s="6">
        <v>53.23</v>
      </c>
      <c r="F145" s="6">
        <v>43.28</v>
      </c>
      <c r="G145" s="7">
        <v>546018500</v>
      </c>
    </row>
    <row r="146" spans="1:7" ht="18" x14ac:dyDescent="0.2">
      <c r="A146" s="5">
        <v>43344</v>
      </c>
      <c r="B146" s="6">
        <v>58.45</v>
      </c>
      <c r="C146" s="6">
        <v>59.2</v>
      </c>
      <c r="D146" s="6">
        <v>52.41</v>
      </c>
      <c r="E146" s="6">
        <v>52.56</v>
      </c>
      <c r="F146" s="6">
        <v>42.74</v>
      </c>
      <c r="G146" s="7">
        <v>406124000</v>
      </c>
    </row>
    <row r="147" spans="1:7" ht="18" x14ac:dyDescent="0.2">
      <c r="A147" s="5">
        <v>43313</v>
      </c>
      <c r="B147" s="6">
        <v>57.96</v>
      </c>
      <c r="C147" s="6">
        <v>59.53</v>
      </c>
      <c r="D147" s="6">
        <v>57.08</v>
      </c>
      <c r="E147" s="6">
        <v>58.48</v>
      </c>
      <c r="F147" s="6">
        <v>47.21</v>
      </c>
      <c r="G147" s="7">
        <v>374293600</v>
      </c>
    </row>
    <row r="148" spans="1:7" ht="18" x14ac:dyDescent="0.2">
      <c r="A148" s="5">
        <v>43282</v>
      </c>
      <c r="B148" s="6">
        <v>55.2</v>
      </c>
      <c r="C148" s="6">
        <v>59.27</v>
      </c>
      <c r="D148" s="6">
        <v>53.63</v>
      </c>
      <c r="E148" s="6">
        <v>57.29</v>
      </c>
      <c r="F148" s="6">
        <v>46.24</v>
      </c>
      <c r="G148" s="7">
        <v>413772800</v>
      </c>
    </row>
    <row r="149" spans="1:7" ht="18" x14ac:dyDescent="0.2">
      <c r="A149" s="5">
        <v>43252</v>
      </c>
      <c r="B149" s="6">
        <v>54.56</v>
      </c>
      <c r="C149" s="6">
        <v>57.12</v>
      </c>
      <c r="D149" s="6">
        <v>53.02</v>
      </c>
      <c r="E149" s="6">
        <v>55.44</v>
      </c>
      <c r="F149" s="6">
        <v>44.75</v>
      </c>
      <c r="G149" s="7">
        <v>387613300</v>
      </c>
    </row>
    <row r="150" spans="1:7" ht="18" x14ac:dyDescent="0.2">
      <c r="A150" s="5">
        <v>43221</v>
      </c>
      <c r="B150" s="6">
        <v>51.76</v>
      </c>
      <c r="C150" s="6">
        <v>56.18</v>
      </c>
      <c r="D150" s="6">
        <v>50.81</v>
      </c>
      <c r="E150" s="6">
        <v>53.99</v>
      </c>
      <c r="F150" s="6">
        <v>43.26</v>
      </c>
      <c r="G150" s="7">
        <v>402405200</v>
      </c>
    </row>
    <row r="151" spans="1:7" ht="18" x14ac:dyDescent="0.2">
      <c r="A151" s="5">
        <v>43191</v>
      </c>
      <c r="B151" s="6">
        <v>52.37</v>
      </c>
      <c r="C151" s="6">
        <v>53.96</v>
      </c>
      <c r="D151" s="6">
        <v>50.26</v>
      </c>
      <c r="E151" s="6">
        <v>51.96</v>
      </c>
      <c r="F151" s="6">
        <v>41.63</v>
      </c>
      <c r="G151" s="7">
        <v>435118800</v>
      </c>
    </row>
    <row r="152" spans="1:7" ht="18" x14ac:dyDescent="0.2">
      <c r="A152" s="5">
        <v>43160</v>
      </c>
      <c r="B152" s="6">
        <v>58.25</v>
      </c>
      <c r="C152" s="6">
        <v>58.94</v>
      </c>
      <c r="D152" s="6">
        <v>50.69</v>
      </c>
      <c r="E152" s="6">
        <v>52.41</v>
      </c>
      <c r="F152" s="6">
        <v>41.99</v>
      </c>
      <c r="G152" s="7">
        <v>463858700</v>
      </c>
    </row>
    <row r="153" spans="1:7" ht="18" x14ac:dyDescent="0.2">
      <c r="A153" s="5">
        <v>43132</v>
      </c>
      <c r="B153" s="6">
        <v>65.37</v>
      </c>
      <c r="C153" s="6">
        <v>66.09</v>
      </c>
      <c r="D153" s="6">
        <v>54.72</v>
      </c>
      <c r="E153" s="6">
        <v>58.41</v>
      </c>
      <c r="F153" s="6">
        <v>46.52</v>
      </c>
      <c r="G153" s="7">
        <v>601421000</v>
      </c>
    </row>
    <row r="154" spans="1:7" ht="18" x14ac:dyDescent="0.2">
      <c r="A154" s="5">
        <v>43101</v>
      </c>
      <c r="B154" s="6">
        <v>61.04</v>
      </c>
      <c r="C154" s="6">
        <v>66.31</v>
      </c>
      <c r="D154" s="6">
        <v>60.7</v>
      </c>
      <c r="E154" s="6">
        <v>65.78</v>
      </c>
      <c r="F154" s="6">
        <v>52.39</v>
      </c>
      <c r="G154" s="7">
        <v>362611700</v>
      </c>
    </row>
    <row r="155" spans="1:7" ht="18" x14ac:dyDescent="0.2">
      <c r="A155" s="5">
        <v>43070</v>
      </c>
      <c r="B155" s="6">
        <v>56.57</v>
      </c>
      <c r="C155" s="6">
        <v>62.24</v>
      </c>
      <c r="D155" s="6">
        <v>55.44</v>
      </c>
      <c r="E155" s="6">
        <v>60.67</v>
      </c>
      <c r="F155" s="6">
        <v>48.32</v>
      </c>
      <c r="G155" s="7">
        <v>422124100</v>
      </c>
    </row>
    <row r="156" spans="1:7" ht="18" x14ac:dyDescent="0.2">
      <c r="A156" s="5">
        <v>43040</v>
      </c>
      <c r="B156" s="6">
        <v>56.32</v>
      </c>
      <c r="C156" s="6">
        <v>57.33</v>
      </c>
      <c r="D156" s="6">
        <v>53.21</v>
      </c>
      <c r="E156" s="6">
        <v>56.47</v>
      </c>
      <c r="F156" s="6">
        <v>44.66</v>
      </c>
      <c r="G156" s="7">
        <v>368177900</v>
      </c>
    </row>
    <row r="157" spans="1:7" ht="18" x14ac:dyDescent="0.2">
      <c r="A157" s="5">
        <v>43009</v>
      </c>
      <c r="B157" s="6">
        <v>55.16</v>
      </c>
      <c r="C157" s="6">
        <v>56.52</v>
      </c>
      <c r="D157" s="6">
        <v>52.84</v>
      </c>
      <c r="E157" s="6">
        <v>56.14</v>
      </c>
      <c r="F157" s="6">
        <v>44.4</v>
      </c>
      <c r="G157" s="7">
        <v>375160400</v>
      </c>
    </row>
    <row r="158" spans="1:7" ht="18" x14ac:dyDescent="0.2">
      <c r="A158" s="5">
        <v>42979</v>
      </c>
      <c r="B158" s="6">
        <v>51.06</v>
      </c>
      <c r="C158" s="6">
        <v>55.23</v>
      </c>
      <c r="D158" s="6">
        <v>49.27</v>
      </c>
      <c r="E158" s="6">
        <v>55.15</v>
      </c>
      <c r="F158" s="6">
        <v>43.62</v>
      </c>
      <c r="G158" s="7">
        <v>375336300</v>
      </c>
    </row>
    <row r="159" spans="1:7" ht="18" x14ac:dyDescent="0.2">
      <c r="A159" s="5">
        <v>42948</v>
      </c>
      <c r="B159" s="6">
        <v>54.23</v>
      </c>
      <c r="C159" s="6">
        <v>54.39</v>
      </c>
      <c r="D159" s="6">
        <v>50.87</v>
      </c>
      <c r="E159" s="6">
        <v>51.07</v>
      </c>
      <c r="F159" s="6">
        <v>40.1</v>
      </c>
      <c r="G159" s="7">
        <v>394552400</v>
      </c>
    </row>
    <row r="160" spans="1:7" ht="18" x14ac:dyDescent="0.2">
      <c r="A160" s="5">
        <v>42917</v>
      </c>
      <c r="B160" s="6">
        <v>55.81</v>
      </c>
      <c r="C160" s="6">
        <v>56.45</v>
      </c>
      <c r="D160" s="6">
        <v>53.18</v>
      </c>
      <c r="E160" s="6">
        <v>53.94</v>
      </c>
      <c r="F160" s="6">
        <v>42.35</v>
      </c>
      <c r="G160" s="7">
        <v>323918200</v>
      </c>
    </row>
    <row r="161" spans="1:7" ht="18" x14ac:dyDescent="0.2">
      <c r="A161" s="5">
        <v>42887</v>
      </c>
      <c r="B161" s="6">
        <v>51.53</v>
      </c>
      <c r="C161" s="6">
        <v>56.6</v>
      </c>
      <c r="D161" s="6">
        <v>51.06</v>
      </c>
      <c r="E161" s="6">
        <v>55.41</v>
      </c>
      <c r="F161" s="6">
        <v>43.51</v>
      </c>
      <c r="G161" s="7">
        <v>407671900</v>
      </c>
    </row>
    <row r="162" spans="1:7" ht="18" x14ac:dyDescent="0.2">
      <c r="A162" s="5">
        <v>42856</v>
      </c>
      <c r="B162" s="6">
        <v>54.1</v>
      </c>
      <c r="C162" s="6">
        <v>55.6</v>
      </c>
      <c r="D162" s="6">
        <v>50.83</v>
      </c>
      <c r="E162" s="6">
        <v>51.14</v>
      </c>
      <c r="F162" s="6">
        <v>39.869999999999997</v>
      </c>
      <c r="G162" s="7">
        <v>397353300</v>
      </c>
    </row>
    <row r="163" spans="1:7" ht="18" x14ac:dyDescent="0.2">
      <c r="A163" s="5">
        <v>42826</v>
      </c>
      <c r="B163" s="6">
        <v>55.7</v>
      </c>
      <c r="C163" s="6">
        <v>56.2</v>
      </c>
      <c r="D163" s="6">
        <v>51.26</v>
      </c>
      <c r="E163" s="6">
        <v>53.84</v>
      </c>
      <c r="F163" s="6">
        <v>41.98</v>
      </c>
      <c r="G163" s="7">
        <v>413088700</v>
      </c>
    </row>
    <row r="164" spans="1:7" ht="18" x14ac:dyDescent="0.2">
      <c r="A164" s="5">
        <v>42795</v>
      </c>
      <c r="B164" s="6">
        <v>59.11</v>
      </c>
      <c r="C164" s="6">
        <v>59.99</v>
      </c>
      <c r="D164" s="6">
        <v>54.24</v>
      </c>
      <c r="E164" s="6">
        <v>55.66</v>
      </c>
      <c r="F164" s="6">
        <v>43.4</v>
      </c>
      <c r="G164" s="7">
        <v>395621300</v>
      </c>
    </row>
    <row r="165" spans="1:7" ht="18" x14ac:dyDescent="0.2">
      <c r="A165" s="5">
        <v>42767</v>
      </c>
      <c r="B165" s="6">
        <v>56.54</v>
      </c>
      <c r="C165" s="6">
        <v>59.01</v>
      </c>
      <c r="D165" s="6">
        <v>55.17</v>
      </c>
      <c r="E165" s="6">
        <v>57.88</v>
      </c>
      <c r="F165" s="6">
        <v>44.83</v>
      </c>
      <c r="G165" s="7">
        <v>302405300</v>
      </c>
    </row>
    <row r="166" spans="1:7" ht="18" x14ac:dyDescent="0.2">
      <c r="A166" s="5">
        <v>42736</v>
      </c>
      <c r="B166" s="6">
        <v>55.67</v>
      </c>
      <c r="C166" s="6">
        <v>57.33</v>
      </c>
      <c r="D166" s="6">
        <v>53.34</v>
      </c>
      <c r="E166" s="6">
        <v>56.33</v>
      </c>
      <c r="F166" s="6">
        <v>43.63</v>
      </c>
      <c r="G166" s="7">
        <v>433876600</v>
      </c>
    </row>
    <row r="167" spans="1:7" ht="18" x14ac:dyDescent="0.2">
      <c r="A167" s="5">
        <v>42705</v>
      </c>
      <c r="B167" s="6">
        <v>53.13</v>
      </c>
      <c r="C167" s="6">
        <v>58.02</v>
      </c>
      <c r="D167" s="6">
        <v>53.06</v>
      </c>
      <c r="E167" s="6">
        <v>55.11</v>
      </c>
      <c r="F167" s="6">
        <v>42.68</v>
      </c>
      <c r="G167" s="7">
        <v>514610900</v>
      </c>
    </row>
    <row r="168" spans="1:7" ht="18" x14ac:dyDescent="0.2">
      <c r="A168" s="5">
        <v>42675</v>
      </c>
      <c r="B168" s="6">
        <v>46.12</v>
      </c>
      <c r="C168" s="6">
        <v>54.06</v>
      </c>
      <c r="D168" s="6">
        <v>44.49</v>
      </c>
      <c r="E168" s="6">
        <v>52.92</v>
      </c>
      <c r="F168" s="6">
        <v>40.65</v>
      </c>
      <c r="G168" s="7">
        <v>672239000</v>
      </c>
    </row>
    <row r="169" spans="1:7" ht="18" x14ac:dyDescent="0.2">
      <c r="A169" s="5">
        <v>42644</v>
      </c>
      <c r="B169" s="6">
        <v>44.12</v>
      </c>
      <c r="C169" s="6">
        <v>46.81</v>
      </c>
      <c r="D169" s="6">
        <v>43.55</v>
      </c>
      <c r="E169" s="6">
        <v>46.01</v>
      </c>
      <c r="F169" s="6">
        <v>35.340000000000003</v>
      </c>
      <c r="G169" s="7">
        <v>586021900</v>
      </c>
    </row>
    <row r="170" spans="1:7" ht="18" x14ac:dyDescent="0.2">
      <c r="A170" s="5">
        <v>42614</v>
      </c>
      <c r="B170" s="6">
        <v>50.92</v>
      </c>
      <c r="C170" s="6">
        <v>51</v>
      </c>
      <c r="D170" s="6">
        <v>44.1</v>
      </c>
      <c r="E170" s="6">
        <v>44.28</v>
      </c>
      <c r="F170" s="6">
        <v>34.01</v>
      </c>
      <c r="G170" s="7">
        <v>760596400</v>
      </c>
    </row>
    <row r="171" spans="1:7" ht="18" x14ac:dyDescent="0.2">
      <c r="A171" s="5">
        <v>42583</v>
      </c>
      <c r="B171" s="6">
        <v>47.98</v>
      </c>
      <c r="C171" s="6">
        <v>50.92</v>
      </c>
      <c r="D171" s="6">
        <v>47.33</v>
      </c>
      <c r="E171" s="6">
        <v>50.8</v>
      </c>
      <c r="F171" s="6">
        <v>38.71</v>
      </c>
      <c r="G171" s="7">
        <v>356092400</v>
      </c>
    </row>
    <row r="172" spans="1:7" ht="18" x14ac:dyDescent="0.2">
      <c r="A172" s="5">
        <v>42552</v>
      </c>
      <c r="B172" s="6">
        <v>47.08</v>
      </c>
      <c r="C172" s="6">
        <v>49.15</v>
      </c>
      <c r="D172" s="6">
        <v>45.7</v>
      </c>
      <c r="E172" s="6">
        <v>47.97</v>
      </c>
      <c r="F172" s="6">
        <v>36.549999999999997</v>
      </c>
      <c r="G172" s="7">
        <v>353764100</v>
      </c>
    </row>
    <row r="173" spans="1:7" ht="18" x14ac:dyDescent="0.2">
      <c r="A173" s="5">
        <v>42522</v>
      </c>
      <c r="B173" s="6">
        <v>50.26</v>
      </c>
      <c r="C173" s="6">
        <v>51.11</v>
      </c>
      <c r="D173" s="6">
        <v>44.5</v>
      </c>
      <c r="E173" s="6">
        <v>47.33</v>
      </c>
      <c r="F173" s="6">
        <v>36.06</v>
      </c>
      <c r="G173" s="7">
        <v>460863700</v>
      </c>
    </row>
    <row r="174" spans="1:7" ht="18" x14ac:dyDescent="0.2">
      <c r="A174" s="5">
        <v>42491</v>
      </c>
      <c r="B174" s="6">
        <v>50.28</v>
      </c>
      <c r="C174" s="6">
        <v>51.19</v>
      </c>
      <c r="D174" s="6">
        <v>47.55</v>
      </c>
      <c r="E174" s="6">
        <v>50.72</v>
      </c>
      <c r="F174" s="6">
        <v>38.35</v>
      </c>
      <c r="G174" s="7">
        <v>363734500</v>
      </c>
    </row>
    <row r="175" spans="1:7" ht="18" x14ac:dyDescent="0.2">
      <c r="A175" s="5">
        <v>42461</v>
      </c>
      <c r="B175" s="6">
        <v>48.23</v>
      </c>
      <c r="C175" s="6">
        <v>51.41</v>
      </c>
      <c r="D175" s="6">
        <v>46.62</v>
      </c>
      <c r="E175" s="6">
        <v>49.98</v>
      </c>
      <c r="F175" s="6">
        <v>37.79</v>
      </c>
      <c r="G175" s="7">
        <v>376851000</v>
      </c>
    </row>
    <row r="176" spans="1:7" ht="18" x14ac:dyDescent="0.2">
      <c r="A176" s="5">
        <v>42430</v>
      </c>
      <c r="B176" s="6">
        <v>47.14</v>
      </c>
      <c r="C176" s="6">
        <v>50.75</v>
      </c>
      <c r="D176" s="6">
        <v>47.14</v>
      </c>
      <c r="E176" s="6">
        <v>48.36</v>
      </c>
      <c r="F176" s="6">
        <v>36.57</v>
      </c>
      <c r="G176" s="7">
        <v>395938300</v>
      </c>
    </row>
    <row r="177" spans="1:7" ht="18" x14ac:dyDescent="0.2">
      <c r="A177" s="5">
        <v>42401</v>
      </c>
      <c r="B177" s="6">
        <v>50.12</v>
      </c>
      <c r="C177" s="6">
        <v>50.18</v>
      </c>
      <c r="D177" s="6">
        <v>44.5</v>
      </c>
      <c r="E177" s="6">
        <v>46.92</v>
      </c>
      <c r="F177" s="6">
        <v>35.21</v>
      </c>
      <c r="G177" s="7">
        <v>473024200</v>
      </c>
    </row>
    <row r="178" spans="1:7" ht="18" x14ac:dyDescent="0.2">
      <c r="A178" s="5">
        <v>42370</v>
      </c>
      <c r="B178" s="6">
        <v>53.09</v>
      </c>
      <c r="C178" s="6">
        <v>53.27</v>
      </c>
      <c r="D178" s="6">
        <v>46.88</v>
      </c>
      <c r="E178" s="6">
        <v>50.23</v>
      </c>
      <c r="F178" s="6">
        <v>37.69</v>
      </c>
      <c r="G178" s="7">
        <v>472033500</v>
      </c>
    </row>
    <row r="179" spans="1:7" ht="18" x14ac:dyDescent="0.2">
      <c r="A179" s="5">
        <v>42339</v>
      </c>
      <c r="B179" s="6">
        <v>55.51</v>
      </c>
      <c r="C179" s="6">
        <v>56.24</v>
      </c>
      <c r="D179" s="6">
        <v>52.75</v>
      </c>
      <c r="E179" s="6">
        <v>54.36</v>
      </c>
      <c r="F179" s="6">
        <v>40.79</v>
      </c>
      <c r="G179" s="7">
        <v>340655400</v>
      </c>
    </row>
    <row r="180" spans="1:7" ht="18" x14ac:dyDescent="0.2">
      <c r="A180" s="5">
        <v>42309</v>
      </c>
      <c r="B180" s="6">
        <v>54.21</v>
      </c>
      <c r="C180" s="6">
        <v>56.34</v>
      </c>
      <c r="D180" s="6">
        <v>54.13</v>
      </c>
      <c r="E180" s="6">
        <v>55.1</v>
      </c>
      <c r="F180" s="6">
        <v>41.06</v>
      </c>
      <c r="G180" s="7">
        <v>268235700</v>
      </c>
    </row>
    <row r="181" spans="1:7" ht="18" x14ac:dyDescent="0.2">
      <c r="A181" s="5">
        <v>42278</v>
      </c>
      <c r="B181" s="6">
        <v>51.51</v>
      </c>
      <c r="C181" s="6">
        <v>55.57</v>
      </c>
      <c r="D181" s="6">
        <v>49.51</v>
      </c>
      <c r="E181" s="6">
        <v>54.14</v>
      </c>
      <c r="F181" s="6">
        <v>40.35</v>
      </c>
      <c r="G181" s="7">
        <v>353524000</v>
      </c>
    </row>
    <row r="182" spans="1:7" ht="18" x14ac:dyDescent="0.2">
      <c r="A182" s="5">
        <v>42248</v>
      </c>
      <c r="B182" s="6">
        <v>52.11</v>
      </c>
      <c r="C182" s="6">
        <v>53.91</v>
      </c>
      <c r="D182" s="6">
        <v>49.8</v>
      </c>
      <c r="E182" s="6">
        <v>51.35</v>
      </c>
      <c r="F182" s="6">
        <v>38.270000000000003</v>
      </c>
      <c r="G182" s="7">
        <v>409157600</v>
      </c>
    </row>
    <row r="183" spans="1:7" ht="18" x14ac:dyDescent="0.2">
      <c r="A183" s="5">
        <v>42217</v>
      </c>
      <c r="B183" s="6">
        <v>58.07</v>
      </c>
      <c r="C183" s="6">
        <v>58.16</v>
      </c>
      <c r="D183" s="6">
        <v>47.75</v>
      </c>
      <c r="E183" s="6">
        <v>53.33</v>
      </c>
      <c r="F183" s="6">
        <v>39.479999999999997</v>
      </c>
      <c r="G183" s="7">
        <v>383406500</v>
      </c>
    </row>
    <row r="184" spans="1:7" ht="18" x14ac:dyDescent="0.2">
      <c r="A184" s="5">
        <v>42186</v>
      </c>
      <c r="B184" s="6">
        <v>57.09</v>
      </c>
      <c r="C184" s="6">
        <v>58.77</v>
      </c>
      <c r="D184" s="6">
        <v>55.08</v>
      </c>
      <c r="E184" s="6">
        <v>57.87</v>
      </c>
      <c r="F184" s="6">
        <v>42.85</v>
      </c>
      <c r="G184" s="7">
        <v>300870000</v>
      </c>
    </row>
    <row r="185" spans="1:7" ht="18" x14ac:dyDescent="0.2">
      <c r="A185" s="5">
        <v>42156</v>
      </c>
      <c r="B185" s="6">
        <v>56.24</v>
      </c>
      <c r="C185" s="6">
        <v>58.26</v>
      </c>
      <c r="D185" s="6">
        <v>55.74</v>
      </c>
      <c r="E185" s="6">
        <v>56.24</v>
      </c>
      <c r="F185" s="6">
        <v>41.64</v>
      </c>
      <c r="G185" s="7">
        <v>362266300</v>
      </c>
    </row>
    <row r="186" spans="1:7" ht="18" x14ac:dyDescent="0.2">
      <c r="A186" s="5">
        <v>42125</v>
      </c>
      <c r="B186" s="6">
        <v>55.26</v>
      </c>
      <c r="C186" s="6">
        <v>56.7</v>
      </c>
      <c r="D186" s="6">
        <v>54.45</v>
      </c>
      <c r="E186" s="6">
        <v>55.96</v>
      </c>
      <c r="F186" s="6">
        <v>41.15</v>
      </c>
      <c r="G186" s="7">
        <v>266599600</v>
      </c>
    </row>
    <row r="187" spans="1:7" ht="18" x14ac:dyDescent="0.2">
      <c r="A187" s="5">
        <v>42095</v>
      </c>
      <c r="B187" s="6">
        <v>54.42</v>
      </c>
      <c r="C187" s="6">
        <v>55.76</v>
      </c>
      <c r="D187" s="6">
        <v>53.56</v>
      </c>
      <c r="E187" s="6">
        <v>55.1</v>
      </c>
      <c r="F187" s="6">
        <v>40.520000000000003</v>
      </c>
      <c r="G187" s="7">
        <v>309923300</v>
      </c>
    </row>
    <row r="188" spans="1:7" ht="18" x14ac:dyDescent="0.2">
      <c r="A188" s="5">
        <v>42064</v>
      </c>
      <c r="B188" s="6">
        <v>54.79</v>
      </c>
      <c r="C188" s="6">
        <v>56.29</v>
      </c>
      <c r="D188" s="6">
        <v>53.29</v>
      </c>
      <c r="E188" s="6">
        <v>54.4</v>
      </c>
      <c r="F188" s="6">
        <v>40.01</v>
      </c>
      <c r="G188" s="7">
        <v>348820200</v>
      </c>
    </row>
    <row r="189" spans="1:7" ht="18" x14ac:dyDescent="0.2">
      <c r="A189" s="5">
        <v>42036</v>
      </c>
      <c r="B189" s="6">
        <v>52.19</v>
      </c>
      <c r="C189" s="6">
        <v>55.58</v>
      </c>
      <c r="D189" s="6">
        <v>51.99</v>
      </c>
      <c r="E189" s="6">
        <v>54.79</v>
      </c>
      <c r="F189" s="6">
        <v>40.03</v>
      </c>
      <c r="G189" s="7">
        <v>278034600</v>
      </c>
    </row>
    <row r="190" spans="1:7" ht="18" x14ac:dyDescent="0.2">
      <c r="A190" s="5">
        <v>42005</v>
      </c>
      <c r="B190" s="6">
        <v>55.11</v>
      </c>
      <c r="C190" s="6">
        <v>55.19</v>
      </c>
      <c r="D190" s="6">
        <v>50.42</v>
      </c>
      <c r="E190" s="6">
        <v>51.92</v>
      </c>
      <c r="F190" s="6">
        <v>37.93</v>
      </c>
      <c r="G190" s="7">
        <v>388756400</v>
      </c>
    </row>
    <row r="191" spans="1:7" ht="18" x14ac:dyDescent="0.2">
      <c r="A191" s="5">
        <v>41974</v>
      </c>
      <c r="B191" s="6">
        <v>54.42</v>
      </c>
      <c r="C191" s="6">
        <v>55.95</v>
      </c>
      <c r="D191" s="6">
        <v>52.73</v>
      </c>
      <c r="E191" s="6">
        <v>54.82</v>
      </c>
      <c r="F191" s="6">
        <v>40.049999999999997</v>
      </c>
      <c r="G191" s="7">
        <v>356501200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CD636-8A02-5E45-B85A-57960C0EA53C}">
  <dimension ref="A1:P192"/>
  <sheetViews>
    <sheetView topLeftCell="A76" workbookViewId="0">
      <selection activeCell="P1" sqref="A1:P192"/>
    </sheetView>
  </sheetViews>
  <sheetFormatPr baseColWidth="10" defaultRowHeight="16" x14ac:dyDescent="0.2"/>
  <cols>
    <col min="1" max="1" width="12.33203125" customWidth="1"/>
    <col min="7" max="7" width="14.1640625" customWidth="1"/>
    <col min="9" max="9" width="10.33203125" customWidth="1"/>
    <col min="10" max="10" width="12.6640625" customWidth="1"/>
  </cols>
  <sheetData>
    <row r="1" spans="1:13" x14ac:dyDescent="0.2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J1" s="4" t="s">
        <v>7</v>
      </c>
      <c r="K1" t="s">
        <v>14</v>
      </c>
      <c r="L1" t="s">
        <v>15</v>
      </c>
      <c r="M1" t="s">
        <v>16</v>
      </c>
    </row>
    <row r="2" spans="1:13" ht="18" x14ac:dyDescent="0.2">
      <c r="A2" s="5">
        <v>43800</v>
      </c>
      <c r="B2" s="6">
        <v>30.39</v>
      </c>
      <c r="C2" s="6">
        <v>31.64</v>
      </c>
      <c r="D2" s="6">
        <v>29.3</v>
      </c>
      <c r="E2" s="6">
        <v>30.74</v>
      </c>
      <c r="F2" s="6">
        <v>23.81</v>
      </c>
      <c r="G2" s="7">
        <v>87995900</v>
      </c>
      <c r="J2" s="5">
        <v>43800</v>
      </c>
      <c r="K2">
        <f t="shared" ref="K2:K33" si="0">(F2-F3)/F3</f>
        <v>1.7956391620350499E-2</v>
      </c>
      <c r="L2">
        <f t="shared" ref="L2:L33" si="1">(F67-F68)/F68</f>
        <v>2.8935185185185182E-2</v>
      </c>
      <c r="M2">
        <f t="shared" ref="M2:M33" si="2">(F132-F133)/F133</f>
        <v>3.7828543355440905E-2</v>
      </c>
    </row>
    <row r="3" spans="1:13" ht="18" x14ac:dyDescent="0.2">
      <c r="A3" s="5">
        <v>43770</v>
      </c>
      <c r="B3" s="6">
        <v>29.35</v>
      </c>
      <c r="C3" s="6">
        <v>30.89</v>
      </c>
      <c r="D3" s="6">
        <v>29.21</v>
      </c>
      <c r="E3" s="6">
        <v>30.19</v>
      </c>
      <c r="F3" s="6">
        <v>23.39</v>
      </c>
      <c r="G3" s="7">
        <v>83438900</v>
      </c>
      <c r="J3" s="5">
        <v>43770</v>
      </c>
      <c r="K3">
        <f t="shared" si="0"/>
        <v>3.8171327119396331E-2</v>
      </c>
      <c r="L3">
        <f t="shared" si="1"/>
        <v>7.6188499065808629E-2</v>
      </c>
      <c r="M3">
        <f t="shared" si="2"/>
        <v>3.1416265518115077E-2</v>
      </c>
    </row>
    <row r="4" spans="1:13" ht="18" x14ac:dyDescent="0.2">
      <c r="A4" s="5">
        <v>43739</v>
      </c>
      <c r="B4" s="6">
        <v>27.52</v>
      </c>
      <c r="C4" s="6">
        <v>29.67</v>
      </c>
      <c r="D4" s="6">
        <v>25.42</v>
      </c>
      <c r="E4" s="6">
        <v>29.08</v>
      </c>
      <c r="F4" s="6">
        <v>22.53</v>
      </c>
      <c r="G4" s="7">
        <v>126146500</v>
      </c>
      <c r="J4" s="5">
        <v>43739</v>
      </c>
      <c r="K4">
        <f t="shared" si="0"/>
        <v>7.1326676176890147E-2</v>
      </c>
      <c r="L4">
        <f t="shared" si="1"/>
        <v>-8.6437538588187215E-3</v>
      </c>
      <c r="M4">
        <f t="shared" si="2"/>
        <v>-6.0438176781667588E-3</v>
      </c>
    </row>
    <row r="5" spans="1:13" ht="18" x14ac:dyDescent="0.2">
      <c r="A5" s="5">
        <v>43709</v>
      </c>
      <c r="B5" s="6">
        <v>26.18</v>
      </c>
      <c r="C5" s="6">
        <v>28.66</v>
      </c>
      <c r="D5" s="6">
        <v>25.46</v>
      </c>
      <c r="E5" s="6">
        <v>27.38</v>
      </c>
      <c r="F5" s="6">
        <v>21.03</v>
      </c>
      <c r="G5" s="7">
        <v>104669200</v>
      </c>
      <c r="J5" s="5">
        <v>43709</v>
      </c>
      <c r="K5">
        <f t="shared" si="0"/>
        <v>3.5450516986706176E-2</v>
      </c>
      <c r="L5">
        <f t="shared" si="1"/>
        <v>8.1460048965056833E-2</v>
      </c>
      <c r="M5">
        <f t="shared" si="2"/>
        <v>0.13101680432925097</v>
      </c>
    </row>
    <row r="6" spans="1:13" ht="18" x14ac:dyDescent="0.2">
      <c r="A6" s="5">
        <v>43678</v>
      </c>
      <c r="B6" s="6">
        <v>29.6</v>
      </c>
      <c r="C6" s="6">
        <v>29.74</v>
      </c>
      <c r="D6" s="6">
        <v>24.97</v>
      </c>
      <c r="E6" s="6">
        <v>26.45</v>
      </c>
      <c r="F6" s="6">
        <v>20.309999999999999</v>
      </c>
      <c r="G6" s="7">
        <v>117705700</v>
      </c>
      <c r="J6" s="5">
        <v>43678</v>
      </c>
      <c r="K6">
        <f t="shared" si="0"/>
        <v>-0.10921052631578956</v>
      </c>
      <c r="L6">
        <f t="shared" si="1"/>
        <v>-0.15782567947516404</v>
      </c>
      <c r="M6">
        <f t="shared" si="2"/>
        <v>-7.5322623123518548E-2</v>
      </c>
    </row>
    <row r="7" spans="1:13" ht="18" x14ac:dyDescent="0.2">
      <c r="A7" s="5">
        <v>43647</v>
      </c>
      <c r="B7" s="6">
        <v>28.19</v>
      </c>
      <c r="C7" s="6">
        <v>30.2</v>
      </c>
      <c r="D7" s="6">
        <v>27.45</v>
      </c>
      <c r="E7" s="6">
        <v>29.69</v>
      </c>
      <c r="F7" s="6">
        <v>22.8</v>
      </c>
      <c r="G7" s="7">
        <v>115155500</v>
      </c>
      <c r="J7" s="5">
        <v>43647</v>
      </c>
      <c r="K7">
        <f t="shared" si="0"/>
        <v>7.3446327683615933E-2</v>
      </c>
      <c r="L7">
        <f t="shared" si="1"/>
        <v>7.7446165470344483E-3</v>
      </c>
      <c r="M7">
        <f t="shared" si="2"/>
        <v>4.8895027624309279E-2</v>
      </c>
    </row>
    <row r="8" spans="1:13" ht="18" x14ac:dyDescent="0.2">
      <c r="A8" s="5">
        <v>43617</v>
      </c>
      <c r="B8" s="6">
        <v>26.43</v>
      </c>
      <c r="C8" s="6">
        <v>28.39</v>
      </c>
      <c r="D8" s="6">
        <v>26.29</v>
      </c>
      <c r="E8" s="6">
        <v>27.9</v>
      </c>
      <c r="F8" s="6">
        <v>21.24</v>
      </c>
      <c r="G8" s="7">
        <v>143089100</v>
      </c>
      <c r="J8" s="5">
        <v>43617</v>
      </c>
      <c r="K8">
        <f t="shared" si="0"/>
        <v>5.3049082796231863E-2</v>
      </c>
      <c r="L8">
        <f t="shared" si="1"/>
        <v>6.5834507751157553E-2</v>
      </c>
      <c r="M8">
        <f t="shared" si="2"/>
        <v>5.971896955503532E-2</v>
      </c>
    </row>
    <row r="9" spans="1:13" ht="18" x14ac:dyDescent="0.2">
      <c r="A9" s="5">
        <v>43586</v>
      </c>
      <c r="B9" s="6">
        <v>28.8</v>
      </c>
      <c r="C9" s="6">
        <v>29.18</v>
      </c>
      <c r="D9" s="6">
        <v>26.4</v>
      </c>
      <c r="E9" s="6">
        <v>26.5</v>
      </c>
      <c r="F9" s="6">
        <v>20.170000000000002</v>
      </c>
      <c r="G9" s="7">
        <v>141462100</v>
      </c>
      <c r="J9" s="5">
        <v>43586</v>
      </c>
      <c r="K9">
        <f t="shared" si="0"/>
        <v>-8.0674567000911551E-2</v>
      </c>
      <c r="L9">
        <f t="shared" si="1"/>
        <v>-0.12444914507315345</v>
      </c>
      <c r="M9">
        <f t="shared" si="2"/>
        <v>-8.6875167067628989E-2</v>
      </c>
    </row>
    <row r="10" spans="1:13" ht="18" x14ac:dyDescent="0.2">
      <c r="A10" s="5">
        <v>43556</v>
      </c>
      <c r="B10" s="6">
        <v>25.57</v>
      </c>
      <c r="C10" s="6">
        <v>29.05</v>
      </c>
      <c r="D10" s="6">
        <v>25.48</v>
      </c>
      <c r="E10" s="6">
        <v>28.82</v>
      </c>
      <c r="F10" s="6">
        <v>21.94</v>
      </c>
      <c r="G10" s="7">
        <v>165113500</v>
      </c>
      <c r="J10" s="5">
        <v>43556</v>
      </c>
      <c r="K10">
        <f t="shared" si="0"/>
        <v>0.15291644771413557</v>
      </c>
      <c r="L10">
        <f t="shared" si="1"/>
        <v>7.1995464852607619E-2</v>
      </c>
      <c r="M10">
        <f t="shared" si="2"/>
        <v>0.10029411764705873</v>
      </c>
    </row>
    <row r="11" spans="1:13" ht="18" x14ac:dyDescent="0.2">
      <c r="A11" s="5">
        <v>43525</v>
      </c>
      <c r="B11" s="6">
        <v>27.8</v>
      </c>
      <c r="C11" s="6">
        <v>29</v>
      </c>
      <c r="D11" s="6">
        <v>24.17</v>
      </c>
      <c r="E11" s="6">
        <v>25.22</v>
      </c>
      <c r="F11" s="6">
        <v>19.03</v>
      </c>
      <c r="G11" s="7">
        <v>243951600</v>
      </c>
      <c r="J11" s="5">
        <v>43525</v>
      </c>
      <c r="K11">
        <f t="shared" si="0"/>
        <v>-8.5535800096107534E-2</v>
      </c>
      <c r="L11">
        <f t="shared" si="1"/>
        <v>-0.15137908915971773</v>
      </c>
      <c r="M11">
        <f t="shared" si="2"/>
        <v>-7.9588521927449862E-2</v>
      </c>
    </row>
    <row r="12" spans="1:13" ht="18" x14ac:dyDescent="0.2">
      <c r="A12" s="5">
        <v>43497</v>
      </c>
      <c r="B12" s="6">
        <v>26.95</v>
      </c>
      <c r="C12" s="6">
        <v>28.11</v>
      </c>
      <c r="D12" s="6">
        <v>26.16</v>
      </c>
      <c r="E12" s="6">
        <v>27.58</v>
      </c>
      <c r="F12" s="6">
        <v>20.81</v>
      </c>
      <c r="G12" s="7">
        <v>100130000</v>
      </c>
      <c r="J12" s="5">
        <v>43497</v>
      </c>
      <c r="K12">
        <f t="shared" si="0"/>
        <v>2.8670291646070108E-2</v>
      </c>
      <c r="L12">
        <f t="shared" si="1"/>
        <v>0.10626219620365447</v>
      </c>
      <c r="M12">
        <f t="shared" si="2"/>
        <v>4.4387899349731419E-2</v>
      </c>
    </row>
    <row r="13" spans="1:13" ht="18" x14ac:dyDescent="0.2">
      <c r="A13" s="5">
        <v>43466</v>
      </c>
      <c r="B13" s="6">
        <v>23.17</v>
      </c>
      <c r="C13" s="6">
        <v>28.02</v>
      </c>
      <c r="D13" s="6">
        <v>23.11</v>
      </c>
      <c r="E13" s="6">
        <v>26.82</v>
      </c>
      <c r="F13" s="6">
        <v>20.23</v>
      </c>
      <c r="G13" s="7">
        <v>115893600</v>
      </c>
      <c r="J13" s="5">
        <v>43466</v>
      </c>
      <c r="K13">
        <f t="shared" si="0"/>
        <v>0.1500852757248437</v>
      </c>
      <c r="L13">
        <f t="shared" si="1"/>
        <v>0.14619764131760873</v>
      </c>
      <c r="M13">
        <f t="shared" si="2"/>
        <v>0.12643312101910825</v>
      </c>
    </row>
    <row r="14" spans="1:13" ht="18" x14ac:dyDescent="0.2">
      <c r="A14" s="5">
        <v>43435</v>
      </c>
      <c r="B14" s="6">
        <v>28.24</v>
      </c>
      <c r="C14" s="6">
        <v>28.31</v>
      </c>
      <c r="D14" s="6">
        <v>22.12</v>
      </c>
      <c r="E14" s="6">
        <v>23.53</v>
      </c>
      <c r="F14" s="6">
        <v>17.59</v>
      </c>
      <c r="G14" s="7">
        <v>136369800</v>
      </c>
      <c r="J14" s="5">
        <v>43435</v>
      </c>
      <c r="K14">
        <f t="shared" si="0"/>
        <v>-0.15716339242932442</v>
      </c>
      <c r="L14">
        <f t="shared" si="1"/>
        <v>-0.12522234080398434</v>
      </c>
      <c r="M14">
        <f t="shared" si="2"/>
        <v>-0.14534567229178016</v>
      </c>
    </row>
    <row r="15" spans="1:13" ht="18" x14ac:dyDescent="0.2">
      <c r="A15" s="5">
        <v>43405</v>
      </c>
      <c r="B15" s="6">
        <v>27.16</v>
      </c>
      <c r="C15" s="6">
        <v>28.13</v>
      </c>
      <c r="D15" s="6">
        <v>26.44</v>
      </c>
      <c r="E15" s="6">
        <v>27.93</v>
      </c>
      <c r="F15" s="6">
        <v>20.87</v>
      </c>
      <c r="G15" s="7">
        <v>113714600</v>
      </c>
      <c r="J15" s="5">
        <v>43405</v>
      </c>
      <c r="K15">
        <f t="shared" si="0"/>
        <v>3.4705007436787269E-2</v>
      </c>
      <c r="L15">
        <f t="shared" si="1"/>
        <v>-2.9183215334139145E-2</v>
      </c>
      <c r="M15">
        <f t="shared" si="2"/>
        <v>3.9615166949632102E-2</v>
      </c>
    </row>
    <row r="16" spans="1:13" ht="18" x14ac:dyDescent="0.2">
      <c r="A16" s="5">
        <v>43374</v>
      </c>
      <c r="B16" s="6">
        <v>28.1</v>
      </c>
      <c r="C16" s="6">
        <v>29</v>
      </c>
      <c r="D16" s="6">
        <v>24.1</v>
      </c>
      <c r="E16" s="6">
        <v>26.99</v>
      </c>
      <c r="F16" s="6">
        <v>20.170000000000002</v>
      </c>
      <c r="G16" s="7">
        <v>168604200</v>
      </c>
      <c r="J16" s="5">
        <v>43374</v>
      </c>
      <c r="K16">
        <f t="shared" si="0"/>
        <v>-2.7483124397299746E-2</v>
      </c>
      <c r="L16">
        <f t="shared" si="1"/>
        <v>-9.5721424109931438E-2</v>
      </c>
      <c r="M16">
        <f t="shared" si="2"/>
        <v>1.2607449856733663E-2</v>
      </c>
    </row>
    <row r="17" spans="1:13" ht="18" x14ac:dyDescent="0.2">
      <c r="A17" s="5">
        <v>43344</v>
      </c>
      <c r="B17" s="6">
        <v>29.73</v>
      </c>
      <c r="C17" s="6">
        <v>30.13</v>
      </c>
      <c r="D17" s="6">
        <v>27.43</v>
      </c>
      <c r="E17" s="6">
        <v>27.92</v>
      </c>
      <c r="F17" s="6">
        <v>20.74</v>
      </c>
      <c r="G17" s="7">
        <v>97622400</v>
      </c>
      <c r="J17" s="5">
        <v>43344</v>
      </c>
      <c r="K17">
        <f t="shared" si="0"/>
        <v>-5.1235132662397119E-2</v>
      </c>
      <c r="L17">
        <f t="shared" si="1"/>
        <v>-6.8779991275265226E-2</v>
      </c>
      <c r="M17">
        <f t="shared" si="2"/>
        <v>-5.2917232021709712E-2</v>
      </c>
    </row>
    <row r="18" spans="1:13" ht="18" x14ac:dyDescent="0.2">
      <c r="A18" s="5">
        <v>43313</v>
      </c>
      <c r="B18" s="6">
        <v>29.81</v>
      </c>
      <c r="C18" s="6">
        <v>30.31</v>
      </c>
      <c r="D18" s="6">
        <v>29.04</v>
      </c>
      <c r="E18" s="6">
        <v>29.43</v>
      </c>
      <c r="F18" s="6">
        <v>21.86</v>
      </c>
      <c r="G18" s="7">
        <v>100249400</v>
      </c>
      <c r="J18" s="5">
        <v>43313</v>
      </c>
      <c r="K18">
        <f t="shared" si="0"/>
        <v>-5.4595086442220655E-3</v>
      </c>
      <c r="L18">
        <f t="shared" si="1"/>
        <v>5.5563678900423371E-3</v>
      </c>
      <c r="M18">
        <f t="shared" si="2"/>
        <v>1.6551724137931073E-2</v>
      </c>
    </row>
    <row r="19" spans="1:13" ht="18" x14ac:dyDescent="0.2">
      <c r="A19" s="5">
        <v>43282</v>
      </c>
      <c r="B19" s="6">
        <v>28.63</v>
      </c>
      <c r="C19" s="6">
        <v>30.28</v>
      </c>
      <c r="D19" s="6">
        <v>28.29</v>
      </c>
      <c r="E19" s="6">
        <v>29.59</v>
      </c>
      <c r="F19" s="6">
        <v>21.98</v>
      </c>
      <c r="G19" s="7">
        <v>144850300</v>
      </c>
      <c r="J19" s="5">
        <v>43282</v>
      </c>
      <c r="K19">
        <f t="shared" si="0"/>
        <v>3.7771482530689363E-2</v>
      </c>
      <c r="L19">
        <f t="shared" si="1"/>
        <v>6.6095089633671E-2</v>
      </c>
      <c r="M19">
        <f t="shared" si="2"/>
        <v>7.5041689827682924E-3</v>
      </c>
    </row>
    <row r="20" spans="1:13" ht="18" x14ac:dyDescent="0.2">
      <c r="A20" s="5">
        <v>43252</v>
      </c>
      <c r="B20" s="6">
        <v>30.89</v>
      </c>
      <c r="C20" s="6">
        <v>32.01</v>
      </c>
      <c r="D20" s="6">
        <v>28.55</v>
      </c>
      <c r="E20" s="6">
        <v>28.7</v>
      </c>
      <c r="F20" s="6">
        <v>21.18</v>
      </c>
      <c r="G20" s="7">
        <v>136492300</v>
      </c>
      <c r="J20" s="5">
        <v>43252</v>
      </c>
      <c r="K20">
        <f t="shared" si="0"/>
        <v>-6.1586176340274724E-2</v>
      </c>
      <c r="L20">
        <f t="shared" si="1"/>
        <v>-3.2282395534771462E-2</v>
      </c>
      <c r="M20">
        <f t="shared" si="2"/>
        <v>-3.2795698924731338E-2</v>
      </c>
    </row>
    <row r="21" spans="1:13" ht="18" x14ac:dyDescent="0.2">
      <c r="A21" s="5">
        <v>43221</v>
      </c>
      <c r="B21" s="6">
        <v>33.18</v>
      </c>
      <c r="C21" s="6">
        <v>34.67</v>
      </c>
      <c r="D21" s="6">
        <v>30</v>
      </c>
      <c r="E21" s="6">
        <v>30.58</v>
      </c>
      <c r="F21" s="6">
        <v>22.57</v>
      </c>
      <c r="G21" s="7">
        <v>177137800</v>
      </c>
      <c r="J21" s="5">
        <v>43221</v>
      </c>
      <c r="K21">
        <f t="shared" si="0"/>
        <v>-7.8022875816993464E-2</v>
      </c>
      <c r="L21">
        <f t="shared" si="1"/>
        <v>-3.007971123477044E-3</v>
      </c>
      <c r="M21">
        <f t="shared" si="2"/>
        <v>-5.6134723336004749E-3</v>
      </c>
    </row>
    <row r="22" spans="1:13" ht="18" x14ac:dyDescent="0.2">
      <c r="A22" s="5">
        <v>43191</v>
      </c>
      <c r="B22" s="6">
        <v>31.67</v>
      </c>
      <c r="C22" s="6">
        <v>34.17</v>
      </c>
      <c r="D22" s="6">
        <v>30.45</v>
      </c>
      <c r="E22" s="6">
        <v>33.17</v>
      </c>
      <c r="F22" s="6">
        <v>24.48</v>
      </c>
      <c r="G22" s="7">
        <v>116596800</v>
      </c>
      <c r="J22" s="5">
        <v>43191</v>
      </c>
      <c r="K22">
        <f t="shared" si="0"/>
        <v>5.0193050193050266E-2</v>
      </c>
      <c r="L22">
        <f t="shared" si="1"/>
        <v>-1.4086595492289486E-2</v>
      </c>
      <c r="M22">
        <f t="shared" si="2"/>
        <v>1.5472312703582874E-2</v>
      </c>
    </row>
    <row r="23" spans="1:13" ht="18" x14ac:dyDescent="0.2">
      <c r="A23" s="5">
        <v>43160</v>
      </c>
      <c r="B23" s="6">
        <v>33.020000000000003</v>
      </c>
      <c r="C23" s="6">
        <v>34.57</v>
      </c>
      <c r="D23" s="6">
        <v>30.89</v>
      </c>
      <c r="E23" s="6">
        <v>31.75</v>
      </c>
      <c r="F23" s="6">
        <v>23.31</v>
      </c>
      <c r="G23" s="7">
        <v>103778200</v>
      </c>
      <c r="J23" s="5">
        <v>43160</v>
      </c>
      <c r="K23">
        <f t="shared" si="0"/>
        <v>-3.9555006180469754E-2</v>
      </c>
      <c r="L23">
        <f t="shared" si="1"/>
        <v>-1.0272967420017652E-2</v>
      </c>
      <c r="M23">
        <f t="shared" si="2"/>
        <v>-3.661087866108783E-2</v>
      </c>
    </row>
    <row r="24" spans="1:13" ht="18" x14ac:dyDescent="0.2">
      <c r="A24" s="5">
        <v>43132</v>
      </c>
      <c r="B24" s="6">
        <v>33.15</v>
      </c>
      <c r="C24" s="6">
        <v>34.090000000000003</v>
      </c>
      <c r="D24" s="6">
        <v>30.53</v>
      </c>
      <c r="E24" s="6">
        <v>33.049999999999997</v>
      </c>
      <c r="F24" s="6">
        <v>24.27</v>
      </c>
      <c r="G24" s="7">
        <v>105004700</v>
      </c>
      <c r="J24" s="5">
        <v>43132</v>
      </c>
      <c r="K24">
        <f t="shared" si="0"/>
        <v>-1.2345679012346147E-3</v>
      </c>
      <c r="L24">
        <f t="shared" si="1"/>
        <v>2.0976925382079799E-2</v>
      </c>
      <c r="M24">
        <f t="shared" si="2"/>
        <v>-1.5194437290754476E-2</v>
      </c>
    </row>
    <row r="25" spans="1:13" ht="18" x14ac:dyDescent="0.2">
      <c r="A25" s="5">
        <v>43101</v>
      </c>
      <c r="B25" s="6">
        <v>31.19</v>
      </c>
      <c r="C25" s="6">
        <v>33.590000000000003</v>
      </c>
      <c r="D25" s="6">
        <v>30.18</v>
      </c>
      <c r="E25" s="6">
        <v>33.1</v>
      </c>
      <c r="F25" s="6">
        <v>24.3</v>
      </c>
      <c r="G25" s="7">
        <v>111376400</v>
      </c>
      <c r="J25" s="5">
        <v>43101</v>
      </c>
      <c r="K25">
        <f t="shared" si="0"/>
        <v>9.6570397111913384E-2</v>
      </c>
      <c r="L25">
        <f t="shared" si="1"/>
        <v>9.6795398520953049E-2</v>
      </c>
      <c r="M25">
        <f t="shared" si="2"/>
        <v>0.11006289308176105</v>
      </c>
    </row>
    <row r="26" spans="1:13" ht="18" x14ac:dyDescent="0.2">
      <c r="A26" s="5">
        <v>43070</v>
      </c>
      <c r="B26" s="6">
        <v>30.6</v>
      </c>
      <c r="C26" s="6">
        <v>31.83</v>
      </c>
      <c r="D26" s="6">
        <v>29.59</v>
      </c>
      <c r="E26" s="6">
        <v>30.34</v>
      </c>
      <c r="F26" s="6">
        <v>22.16</v>
      </c>
      <c r="G26" s="7">
        <v>138711700</v>
      </c>
      <c r="J26" s="5">
        <v>43070</v>
      </c>
      <c r="K26">
        <f t="shared" si="0"/>
        <v>-5.8322117541497985E-3</v>
      </c>
      <c r="L26">
        <f t="shared" si="1"/>
        <v>4.5712321704760334E-2</v>
      </c>
      <c r="M26">
        <f t="shared" si="2"/>
        <v>1.3032145960034628E-2</v>
      </c>
    </row>
    <row r="27" spans="1:13" ht="18" x14ac:dyDescent="0.2">
      <c r="A27" s="5">
        <v>43040</v>
      </c>
      <c r="B27" s="6">
        <v>29.07</v>
      </c>
      <c r="C27" s="6">
        <v>31.12</v>
      </c>
      <c r="D27" s="6">
        <v>27.38</v>
      </c>
      <c r="E27" s="6">
        <v>30.51</v>
      </c>
      <c r="F27" s="6">
        <v>22.29</v>
      </c>
      <c r="G27" s="7">
        <v>104830900</v>
      </c>
      <c r="J27" s="5">
        <v>43040</v>
      </c>
      <c r="K27">
        <f t="shared" si="0"/>
        <v>5.5897678825201316E-2</v>
      </c>
      <c r="L27">
        <f t="shared" si="1"/>
        <v>6.0506652086750511E-2</v>
      </c>
      <c r="M27">
        <f t="shared" si="2"/>
        <v>3.779069767441935E-3</v>
      </c>
    </row>
    <row r="28" spans="1:13" ht="18" x14ac:dyDescent="0.2">
      <c r="A28" s="5">
        <v>43009</v>
      </c>
      <c r="B28" s="6">
        <v>27.76</v>
      </c>
      <c r="C28" s="6">
        <v>29.22</v>
      </c>
      <c r="D28" s="6">
        <v>27.6</v>
      </c>
      <c r="E28" s="6">
        <v>28.9</v>
      </c>
      <c r="F28" s="6">
        <v>21.11</v>
      </c>
      <c r="G28" s="7">
        <v>96851800</v>
      </c>
      <c r="J28" s="5">
        <v>43009</v>
      </c>
      <c r="K28">
        <f t="shared" si="0"/>
        <v>3.8877952755905471E-2</v>
      </c>
      <c r="L28">
        <f t="shared" si="1"/>
        <v>3.0229064964325938E-2</v>
      </c>
      <c r="M28">
        <f t="shared" si="2"/>
        <v>4.8780487804878099E-2</v>
      </c>
    </row>
    <row r="29" spans="1:13" ht="18" x14ac:dyDescent="0.2">
      <c r="A29" s="5">
        <v>42979</v>
      </c>
      <c r="B29" s="6">
        <v>26.18</v>
      </c>
      <c r="C29" s="6">
        <v>28.06</v>
      </c>
      <c r="D29" s="6">
        <v>24.66</v>
      </c>
      <c r="E29" s="6">
        <v>27.98</v>
      </c>
      <c r="F29" s="6">
        <v>20.32</v>
      </c>
      <c r="G29" s="7">
        <v>104816500</v>
      </c>
      <c r="J29" s="5">
        <v>42979</v>
      </c>
      <c r="K29">
        <f t="shared" si="0"/>
        <v>7.0600632244467845E-2</v>
      </c>
      <c r="L29">
        <f t="shared" si="1"/>
        <v>0.12220817530552038</v>
      </c>
      <c r="M29">
        <f t="shared" si="2"/>
        <v>2.564102564102554E-2</v>
      </c>
    </row>
    <row r="30" spans="1:13" ht="18" x14ac:dyDescent="0.2">
      <c r="A30" s="5">
        <v>42948</v>
      </c>
      <c r="B30" s="6">
        <v>26.82</v>
      </c>
      <c r="C30" s="6">
        <v>27.86</v>
      </c>
      <c r="D30" s="6">
        <v>25.98</v>
      </c>
      <c r="E30" s="6">
        <v>26.13</v>
      </c>
      <c r="F30" s="6">
        <v>18.98</v>
      </c>
      <c r="G30" s="7">
        <v>119038400</v>
      </c>
      <c r="J30" s="5">
        <v>42948</v>
      </c>
      <c r="K30">
        <f t="shared" si="0"/>
        <v>-2.1144920061887576E-2</v>
      </c>
      <c r="L30">
        <f t="shared" si="1"/>
        <v>-5.608591885441528E-2</v>
      </c>
      <c r="M30">
        <f t="shared" si="2"/>
        <v>-2.6187576126674876E-2</v>
      </c>
    </row>
    <row r="31" spans="1:13" ht="18" x14ac:dyDescent="0.2">
      <c r="A31" s="5">
        <v>42917</v>
      </c>
      <c r="B31" s="6">
        <v>26.19</v>
      </c>
      <c r="C31" s="6">
        <v>27.08</v>
      </c>
      <c r="D31" s="6">
        <v>25.42</v>
      </c>
      <c r="E31" s="6">
        <v>26.7</v>
      </c>
      <c r="F31" s="6">
        <v>19.39</v>
      </c>
      <c r="G31" s="7">
        <v>116678000</v>
      </c>
      <c r="J31" s="5">
        <v>42917</v>
      </c>
      <c r="K31">
        <f t="shared" si="0"/>
        <v>3.4133333333333363E-2</v>
      </c>
      <c r="L31">
        <f t="shared" si="1"/>
        <v>-1.2762615354407984E-2</v>
      </c>
      <c r="M31">
        <f t="shared" si="2"/>
        <v>4.2208822596001325E-2</v>
      </c>
    </row>
    <row r="32" spans="1:13" ht="18" x14ac:dyDescent="0.2">
      <c r="A32" s="5">
        <v>42887</v>
      </c>
      <c r="B32" s="6">
        <v>23.29</v>
      </c>
      <c r="C32" s="6">
        <v>26.69</v>
      </c>
      <c r="D32" s="6">
        <v>23.2</v>
      </c>
      <c r="E32" s="6">
        <v>25.96</v>
      </c>
      <c r="F32" s="6">
        <v>18.75</v>
      </c>
      <c r="G32" s="7">
        <v>141188400</v>
      </c>
      <c r="J32" s="5">
        <v>42887</v>
      </c>
      <c r="K32">
        <f t="shared" si="0"/>
        <v>9.3932322053675577E-2</v>
      </c>
      <c r="L32">
        <f t="shared" si="1"/>
        <v>7.2210526315789461E-2</v>
      </c>
      <c r="M32">
        <f t="shared" si="2"/>
        <v>9.7909407665505307E-2</v>
      </c>
    </row>
    <row r="33" spans="1:13" ht="18" x14ac:dyDescent="0.2">
      <c r="A33" s="5">
        <v>42856</v>
      </c>
      <c r="B33" s="6">
        <v>24.58</v>
      </c>
      <c r="C33" s="6">
        <v>25.16</v>
      </c>
      <c r="D33" s="6">
        <v>23.54</v>
      </c>
      <c r="E33" s="6">
        <v>23.74</v>
      </c>
      <c r="F33" s="6">
        <v>17.14</v>
      </c>
      <c r="G33" s="7">
        <v>128884300</v>
      </c>
      <c r="J33" s="5">
        <v>42856</v>
      </c>
      <c r="K33">
        <f t="shared" si="0"/>
        <v>-2.8344671201814057E-2</v>
      </c>
      <c r="L33">
        <f t="shared" si="1"/>
        <v>-3.0414370279648946E-2</v>
      </c>
      <c r="M33">
        <f t="shared" si="2"/>
        <v>-3.5618279569892546E-2</v>
      </c>
    </row>
    <row r="34" spans="1:13" ht="18" x14ac:dyDescent="0.2">
      <c r="A34" s="5">
        <v>42826</v>
      </c>
      <c r="B34" s="6">
        <v>25.54</v>
      </c>
      <c r="C34" s="6">
        <v>25.76</v>
      </c>
      <c r="D34" s="6">
        <v>23.78</v>
      </c>
      <c r="E34" s="6">
        <v>24.43</v>
      </c>
      <c r="F34" s="6">
        <v>17.64</v>
      </c>
      <c r="G34" s="7">
        <v>118555900</v>
      </c>
      <c r="J34" s="5">
        <v>42826</v>
      </c>
      <c r="K34">
        <f t="shared" ref="K34:K61" si="3">(F34-F35)/F35</f>
        <v>-3.289473684210515E-2</v>
      </c>
      <c r="L34">
        <f t="shared" ref="L34:L61" si="4">(F99-F100)/F100</f>
        <v>3.0934343434343408E-2</v>
      </c>
      <c r="M34">
        <f t="shared" ref="M34:M61" si="5">(F164-F165)/F165</f>
        <v>-3.3766233766233736E-2</v>
      </c>
    </row>
    <row r="35" spans="1:13" ht="18" x14ac:dyDescent="0.2">
      <c r="A35" s="5">
        <v>42795</v>
      </c>
      <c r="B35" s="6">
        <v>27.87</v>
      </c>
      <c r="C35" s="6">
        <v>28.97</v>
      </c>
      <c r="D35" s="6">
        <v>24.02</v>
      </c>
      <c r="E35" s="6">
        <v>25.4</v>
      </c>
      <c r="F35" s="6">
        <v>18.239999999999998</v>
      </c>
      <c r="G35" s="7">
        <v>143086900</v>
      </c>
      <c r="J35" s="5">
        <v>42795</v>
      </c>
      <c r="K35">
        <f t="shared" si="3"/>
        <v>-7.4581430745814428E-2</v>
      </c>
      <c r="L35">
        <f t="shared" si="4"/>
        <v>-3.4734917733089454E-2</v>
      </c>
      <c r="M35">
        <f t="shared" si="5"/>
        <v>-6.7231980617807455E-2</v>
      </c>
    </row>
    <row r="36" spans="1:13" ht="18" x14ac:dyDescent="0.2">
      <c r="A36" s="5">
        <v>42767</v>
      </c>
      <c r="B36" s="6">
        <v>26.37</v>
      </c>
      <c r="C36" s="6">
        <v>27.82</v>
      </c>
      <c r="D36" s="6">
        <v>25.68</v>
      </c>
      <c r="E36" s="6">
        <v>27.44</v>
      </c>
      <c r="F36" s="6">
        <v>19.71</v>
      </c>
      <c r="G36" s="7">
        <v>109601400</v>
      </c>
      <c r="J36" s="5">
        <v>42767</v>
      </c>
      <c r="K36">
        <f t="shared" si="3"/>
        <v>5.1760939167556162E-2</v>
      </c>
      <c r="L36">
        <f t="shared" si="4"/>
        <v>5.5531732418524792E-2</v>
      </c>
      <c r="M36">
        <f t="shared" si="5"/>
        <v>4.3945621245652995E-2</v>
      </c>
    </row>
    <row r="37" spans="1:13" ht="18" x14ac:dyDescent="0.2">
      <c r="A37" s="5">
        <v>42736</v>
      </c>
      <c r="B37" s="6">
        <v>27.33</v>
      </c>
      <c r="C37" s="6">
        <v>27.69</v>
      </c>
      <c r="D37" s="6">
        <v>25.66</v>
      </c>
      <c r="E37" s="6">
        <v>26.1</v>
      </c>
      <c r="F37" s="6">
        <v>18.739999999999998</v>
      </c>
      <c r="G37" s="7">
        <v>139450200</v>
      </c>
      <c r="J37" s="5">
        <v>42736</v>
      </c>
      <c r="K37">
        <f t="shared" si="3"/>
        <v>-2.7503892060197259E-2</v>
      </c>
      <c r="L37">
        <f t="shared" si="4"/>
        <v>-8.5034013605441872E-3</v>
      </c>
      <c r="M37">
        <f t="shared" si="5"/>
        <v>-1.7396707051879429E-2</v>
      </c>
    </row>
    <row r="38" spans="1:13" ht="18" x14ac:dyDescent="0.2">
      <c r="A38" s="5">
        <v>42705</v>
      </c>
      <c r="B38" s="6">
        <v>26.23</v>
      </c>
      <c r="C38" s="6">
        <v>27.88</v>
      </c>
      <c r="D38" s="6">
        <v>25.82</v>
      </c>
      <c r="E38" s="6">
        <v>26.97</v>
      </c>
      <c r="F38" s="6">
        <v>19.27</v>
      </c>
      <c r="G38" s="7">
        <v>128687800</v>
      </c>
      <c r="J38" s="5">
        <v>42705</v>
      </c>
      <c r="K38">
        <f t="shared" si="3"/>
        <v>3.6578805809575024E-2</v>
      </c>
      <c r="L38">
        <f t="shared" si="4"/>
        <v>7.2014585232452064E-2</v>
      </c>
      <c r="M38">
        <f t="shared" si="5"/>
        <v>4.682926829268285E-2</v>
      </c>
    </row>
    <row r="39" spans="1:13" ht="18" x14ac:dyDescent="0.2">
      <c r="A39" s="5">
        <v>42675</v>
      </c>
      <c r="B39" s="6">
        <v>21.9</v>
      </c>
      <c r="C39" s="6">
        <v>26.63</v>
      </c>
      <c r="D39" s="6">
        <v>21.19</v>
      </c>
      <c r="E39" s="6">
        <v>26.02</v>
      </c>
      <c r="F39" s="6">
        <v>18.59</v>
      </c>
      <c r="G39" s="7">
        <v>181538600</v>
      </c>
      <c r="J39" s="5">
        <v>42675</v>
      </c>
      <c r="K39">
        <f t="shared" si="3"/>
        <v>0.19549839228295812</v>
      </c>
      <c r="L39">
        <f t="shared" si="4"/>
        <v>0.22364751812604583</v>
      </c>
      <c r="M39">
        <f t="shared" si="5"/>
        <v>0.15427927927927926</v>
      </c>
    </row>
    <row r="40" spans="1:13" ht="18" x14ac:dyDescent="0.2">
      <c r="A40" s="5">
        <v>42644</v>
      </c>
      <c r="B40" s="6">
        <v>20.34</v>
      </c>
      <c r="C40" s="6">
        <v>22.07</v>
      </c>
      <c r="D40" s="6">
        <v>19.57</v>
      </c>
      <c r="E40" s="6">
        <v>21.76</v>
      </c>
      <c r="F40" s="6">
        <v>15.55</v>
      </c>
      <c r="G40" s="7">
        <v>183769200</v>
      </c>
      <c r="J40" s="5">
        <v>42644</v>
      </c>
      <c r="K40">
        <f t="shared" si="3"/>
        <v>7.0199587061252677E-2</v>
      </c>
      <c r="L40">
        <f t="shared" si="4"/>
        <v>0.10101320233343565</v>
      </c>
      <c r="M40">
        <f t="shared" si="5"/>
        <v>3.9406944986344193E-2</v>
      </c>
    </row>
    <row r="41" spans="1:13" ht="18" x14ac:dyDescent="0.2">
      <c r="A41" s="5">
        <v>42614</v>
      </c>
      <c r="B41" s="6">
        <v>20.22</v>
      </c>
      <c r="C41" s="6">
        <v>21.11</v>
      </c>
      <c r="D41" s="6">
        <v>19.649999999999999</v>
      </c>
      <c r="E41" s="6">
        <v>20.46</v>
      </c>
      <c r="F41" s="6">
        <v>14.53</v>
      </c>
      <c r="G41" s="7">
        <v>152863900</v>
      </c>
      <c r="J41" s="5">
        <v>42614</v>
      </c>
      <c r="K41">
        <f t="shared" si="3"/>
        <v>1.5373864430468124E-2</v>
      </c>
      <c r="L41">
        <f t="shared" si="4"/>
        <v>5.5572707625810343E-3</v>
      </c>
      <c r="M41">
        <f t="shared" si="5"/>
        <v>-1.2331406551059741E-2</v>
      </c>
    </row>
    <row r="42" spans="1:13" ht="18" x14ac:dyDescent="0.2">
      <c r="A42" s="5">
        <v>42583</v>
      </c>
      <c r="B42" s="6">
        <v>19.05</v>
      </c>
      <c r="C42" s="6">
        <v>20.22</v>
      </c>
      <c r="D42" s="6">
        <v>18.46</v>
      </c>
      <c r="E42" s="6">
        <v>20.16</v>
      </c>
      <c r="F42" s="6">
        <v>14.31</v>
      </c>
      <c r="G42" s="7">
        <v>115284700</v>
      </c>
      <c r="J42" s="5">
        <v>42583</v>
      </c>
      <c r="K42">
        <f t="shared" si="3"/>
        <v>6.1572700296735908E-2</v>
      </c>
      <c r="L42">
        <f t="shared" si="4"/>
        <v>4.5175863181671577E-2</v>
      </c>
      <c r="M42">
        <f t="shared" si="5"/>
        <v>4.4265593561368118E-2</v>
      </c>
    </row>
    <row r="43" spans="1:13" ht="18" x14ac:dyDescent="0.2">
      <c r="A43" s="5">
        <v>42552</v>
      </c>
      <c r="B43" s="6">
        <v>17.440000000000001</v>
      </c>
      <c r="C43" s="6">
        <v>19.100000000000001</v>
      </c>
      <c r="D43" s="6">
        <v>16.260000000000002</v>
      </c>
      <c r="E43" s="6">
        <v>18.98</v>
      </c>
      <c r="F43" s="6">
        <v>13.48</v>
      </c>
      <c r="G43" s="7">
        <v>116547600</v>
      </c>
      <c r="J43" s="5">
        <v>42552</v>
      </c>
      <c r="K43">
        <f t="shared" si="3"/>
        <v>8.797417271993542E-2</v>
      </c>
      <c r="L43">
        <f t="shared" si="4"/>
        <v>0.10010649627263034</v>
      </c>
      <c r="M43">
        <f t="shared" si="5"/>
        <v>3.5416666666666728E-2</v>
      </c>
    </row>
    <row r="44" spans="1:13" ht="18" x14ac:dyDescent="0.2">
      <c r="A44" s="5">
        <v>42522</v>
      </c>
      <c r="B44" s="6">
        <v>18.62</v>
      </c>
      <c r="C44" s="6">
        <v>19.34</v>
      </c>
      <c r="D44" s="6">
        <v>16.14</v>
      </c>
      <c r="E44" s="6">
        <v>17.59</v>
      </c>
      <c r="F44" s="6">
        <v>12.39</v>
      </c>
      <c r="G44" s="7">
        <v>190758800</v>
      </c>
      <c r="J44" s="5">
        <v>42522</v>
      </c>
      <c r="K44">
        <f t="shared" si="3"/>
        <v>-6.7720090293453619E-2</v>
      </c>
      <c r="L44">
        <f t="shared" si="4"/>
        <v>-0.12242990654205606</v>
      </c>
      <c r="M44">
        <f t="shared" si="5"/>
        <v>-1.3157894736842117E-2</v>
      </c>
    </row>
    <row r="45" spans="1:13" ht="18" x14ac:dyDescent="0.2">
      <c r="A45" s="5">
        <v>42491</v>
      </c>
      <c r="B45" s="6">
        <v>18.350000000000001</v>
      </c>
      <c r="C45" s="6">
        <v>19</v>
      </c>
      <c r="D45" s="6">
        <v>17.04</v>
      </c>
      <c r="E45" s="6">
        <v>18.87</v>
      </c>
      <c r="F45" s="6">
        <v>13.29</v>
      </c>
      <c r="G45" s="7">
        <v>139168700</v>
      </c>
      <c r="J45" s="5">
        <v>42491</v>
      </c>
      <c r="K45">
        <f t="shared" si="3"/>
        <v>3.023255813953479E-2</v>
      </c>
      <c r="L45">
        <f t="shared" si="4"/>
        <v>6.0806345009914067E-2</v>
      </c>
      <c r="M45">
        <f t="shared" si="5"/>
        <v>2.7895181741335592E-2</v>
      </c>
    </row>
    <row r="46" spans="1:13" ht="18" x14ac:dyDescent="0.2">
      <c r="A46" s="5">
        <v>42461</v>
      </c>
      <c r="B46" s="6">
        <v>16.39</v>
      </c>
      <c r="C46" s="6">
        <v>19.059999999999999</v>
      </c>
      <c r="D46" s="6">
        <v>16.02</v>
      </c>
      <c r="E46" s="6">
        <v>18.309999999999999</v>
      </c>
      <c r="F46" s="6">
        <v>12.9</v>
      </c>
      <c r="G46" s="7">
        <v>171799900</v>
      </c>
      <c r="J46" s="5">
        <v>42461</v>
      </c>
      <c r="K46">
        <f t="shared" si="3"/>
        <v>0.1053984575835476</v>
      </c>
      <c r="L46">
        <f t="shared" si="4"/>
        <v>0.1724137931034484</v>
      </c>
      <c r="M46">
        <f t="shared" si="5"/>
        <v>6.3848920863309427E-2</v>
      </c>
    </row>
    <row r="47" spans="1:13" ht="18" x14ac:dyDescent="0.2">
      <c r="A47" s="5">
        <v>42430</v>
      </c>
      <c r="B47" s="6">
        <v>15.39</v>
      </c>
      <c r="C47" s="6">
        <v>17.57</v>
      </c>
      <c r="D47" s="6">
        <v>15.39</v>
      </c>
      <c r="E47" s="6">
        <v>16.690000000000001</v>
      </c>
      <c r="F47" s="6">
        <v>11.67</v>
      </c>
      <c r="G47" s="7">
        <v>161911100</v>
      </c>
      <c r="J47" s="5">
        <v>42430</v>
      </c>
      <c r="K47">
        <f t="shared" si="3"/>
        <v>9.3720712277413312E-2</v>
      </c>
      <c r="L47">
        <f t="shared" si="4"/>
        <v>0.12756662297946694</v>
      </c>
      <c r="M47">
        <f t="shared" si="5"/>
        <v>4.3151969981238186E-2</v>
      </c>
    </row>
    <row r="48" spans="1:13" ht="18" x14ac:dyDescent="0.2">
      <c r="A48" s="5">
        <v>42401</v>
      </c>
      <c r="B48" s="6">
        <v>15.77</v>
      </c>
      <c r="C48" s="6">
        <v>15.92</v>
      </c>
      <c r="D48" s="6">
        <v>13.84</v>
      </c>
      <c r="E48" s="6">
        <v>15.26</v>
      </c>
      <c r="F48" s="6">
        <v>10.67</v>
      </c>
      <c r="G48" s="7">
        <v>185436000</v>
      </c>
      <c r="J48" s="5">
        <v>42401</v>
      </c>
      <c r="K48">
        <f t="shared" si="3"/>
        <v>-3.3514492753623122E-2</v>
      </c>
      <c r="L48">
        <f t="shared" si="4"/>
        <v>-1.5060240963855331E-2</v>
      </c>
      <c r="M48">
        <f t="shared" si="5"/>
        <v>-1.5242494226327867E-2</v>
      </c>
    </row>
    <row r="49" spans="1:13" ht="18" x14ac:dyDescent="0.2">
      <c r="A49" s="5">
        <v>42370</v>
      </c>
      <c r="B49" s="6">
        <v>19.48</v>
      </c>
      <c r="C49" s="6">
        <v>19.73</v>
      </c>
      <c r="D49" s="6">
        <v>14.9</v>
      </c>
      <c r="E49" s="6">
        <v>15.8</v>
      </c>
      <c r="F49" s="6">
        <v>11.04</v>
      </c>
      <c r="G49" s="7">
        <v>258629000</v>
      </c>
      <c r="J49" s="5">
        <v>42370</v>
      </c>
      <c r="K49">
        <f t="shared" si="3"/>
        <v>-0.20916905444126085</v>
      </c>
      <c r="L49">
        <f t="shared" si="4"/>
        <v>-0.17995765702187724</v>
      </c>
      <c r="M49">
        <f t="shared" si="5"/>
        <v>-0.136073423782921</v>
      </c>
    </row>
    <row r="50" spans="1:13" ht="18" x14ac:dyDescent="0.2">
      <c r="A50" s="5">
        <v>42339</v>
      </c>
      <c r="B50" s="6">
        <v>20.8</v>
      </c>
      <c r="C50" s="6">
        <v>21.14</v>
      </c>
      <c r="D50" s="6">
        <v>19.43</v>
      </c>
      <c r="E50" s="6">
        <v>20.100000000000001</v>
      </c>
      <c r="F50" s="6">
        <v>13.96</v>
      </c>
      <c r="G50" s="7">
        <v>193347800</v>
      </c>
      <c r="J50" s="5">
        <v>42339</v>
      </c>
      <c r="K50">
        <f t="shared" si="3"/>
        <v>-2.785515320334252E-2</v>
      </c>
      <c r="L50">
        <f t="shared" si="4"/>
        <v>-9.3120000000000008E-2</v>
      </c>
      <c r="M50">
        <f t="shared" si="5"/>
        <v>-1.416207710464213E-2</v>
      </c>
    </row>
    <row r="51" spans="1:13" ht="18" x14ac:dyDescent="0.2">
      <c r="A51" s="5">
        <v>42309</v>
      </c>
      <c r="B51" s="6">
        <v>19.16</v>
      </c>
      <c r="C51" s="6">
        <v>20.8</v>
      </c>
      <c r="D51" s="6">
        <v>19.059999999999999</v>
      </c>
      <c r="E51" s="6">
        <v>20.67</v>
      </c>
      <c r="F51" s="6">
        <v>14.36</v>
      </c>
      <c r="G51" s="7">
        <v>137690800</v>
      </c>
      <c r="J51" s="5">
        <v>42309</v>
      </c>
      <c r="K51">
        <f t="shared" si="3"/>
        <v>8.5411942554799614E-2</v>
      </c>
      <c r="L51">
        <f t="shared" si="4"/>
        <v>6.8010936431989008E-2</v>
      </c>
      <c r="M51">
        <f t="shared" si="5"/>
        <v>3.9672801635991919E-2</v>
      </c>
    </row>
    <row r="52" spans="1:13" ht="18" x14ac:dyDescent="0.2">
      <c r="A52" s="5">
        <v>42278</v>
      </c>
      <c r="B52" s="6">
        <v>18.850000000000001</v>
      </c>
      <c r="C52" s="6">
        <v>19.77</v>
      </c>
      <c r="D52" s="6">
        <v>18.149999999999999</v>
      </c>
      <c r="E52" s="6">
        <v>19.05</v>
      </c>
      <c r="F52" s="6">
        <v>13.23</v>
      </c>
      <c r="G52" s="7">
        <v>184946700</v>
      </c>
      <c r="J52" s="5">
        <v>42278</v>
      </c>
      <c r="K52">
        <f t="shared" si="3"/>
        <v>1.3793103448275839E-2</v>
      </c>
      <c r="L52">
        <f t="shared" si="4"/>
        <v>5.5936485023457258E-2</v>
      </c>
      <c r="M52">
        <f t="shared" si="5"/>
        <v>4.3533930857874499E-2</v>
      </c>
    </row>
    <row r="53" spans="1:13" ht="18" x14ac:dyDescent="0.2">
      <c r="A53" s="5">
        <v>42248</v>
      </c>
      <c r="B53" s="6">
        <v>19.420000000000002</v>
      </c>
      <c r="C53" s="6">
        <v>20.170000000000002</v>
      </c>
      <c r="D53" s="6">
        <v>18.47</v>
      </c>
      <c r="E53" s="6">
        <v>18.91</v>
      </c>
      <c r="F53" s="6">
        <v>13.05</v>
      </c>
      <c r="G53" s="7">
        <v>144311000</v>
      </c>
      <c r="J53" s="5">
        <v>42248</v>
      </c>
      <c r="K53">
        <f t="shared" si="3"/>
        <v>-5.0218340611353676E-2</v>
      </c>
      <c r="L53">
        <f t="shared" si="4"/>
        <v>-6.1314363143631395E-2</v>
      </c>
      <c r="M53">
        <f t="shared" si="5"/>
        <v>-2.9411764705882387E-2</v>
      </c>
    </row>
    <row r="54" spans="1:13" ht="18" x14ac:dyDescent="0.2">
      <c r="A54" s="5">
        <v>42217</v>
      </c>
      <c r="B54" s="6">
        <v>21.07</v>
      </c>
      <c r="C54" s="6">
        <v>21.74</v>
      </c>
      <c r="D54" s="6">
        <v>18.21</v>
      </c>
      <c r="E54" s="6">
        <v>19.920000000000002</v>
      </c>
      <c r="F54" s="6">
        <v>13.74</v>
      </c>
      <c r="G54" s="7">
        <v>154665000</v>
      </c>
      <c r="J54" s="5">
        <v>42217</v>
      </c>
      <c r="K54">
        <f t="shared" si="3"/>
        <v>-5.5020632737276406E-2</v>
      </c>
      <c r="L54">
        <f t="shared" si="4"/>
        <v>-7.228158390949091E-2</v>
      </c>
      <c r="M54">
        <f t="shared" si="5"/>
        <v>-8.3175085453854838E-2</v>
      </c>
    </row>
    <row r="55" spans="1:13" ht="18" x14ac:dyDescent="0.2">
      <c r="A55" s="5">
        <v>42186</v>
      </c>
      <c r="B55" s="6">
        <v>21.04</v>
      </c>
      <c r="C55" s="6">
        <v>21.93</v>
      </c>
      <c r="D55" s="6">
        <v>20.34</v>
      </c>
      <c r="E55" s="6">
        <v>21.07</v>
      </c>
      <c r="F55" s="6">
        <v>14.54</v>
      </c>
      <c r="G55" s="7">
        <v>136965400</v>
      </c>
      <c r="J55" s="5">
        <v>42186</v>
      </c>
      <c r="K55">
        <f t="shared" si="3"/>
        <v>1.8207282913165253E-2</v>
      </c>
      <c r="L55">
        <f t="shared" si="4"/>
        <v>-7.5805983154225945E-2</v>
      </c>
      <c r="M55">
        <f t="shared" si="5"/>
        <v>-1.1380880121396487E-3</v>
      </c>
    </row>
    <row r="56" spans="1:13" ht="18" x14ac:dyDescent="0.2">
      <c r="A56" s="5">
        <v>42156</v>
      </c>
      <c r="B56" s="6">
        <v>20.239999999999998</v>
      </c>
      <c r="C56" s="6">
        <v>21.9</v>
      </c>
      <c r="D56" s="6">
        <v>19.88</v>
      </c>
      <c r="E56" s="6">
        <v>20.82</v>
      </c>
      <c r="F56" s="6">
        <v>14.28</v>
      </c>
      <c r="G56" s="7">
        <v>176594100</v>
      </c>
      <c r="J56" s="5">
        <v>42156</v>
      </c>
      <c r="K56">
        <f t="shared" si="3"/>
        <v>2.8818443804034477E-2</v>
      </c>
      <c r="L56">
        <f t="shared" si="4"/>
        <v>5.2583307856924451E-2</v>
      </c>
      <c r="M56">
        <f t="shared" si="5"/>
        <v>2.8482247366367557E-2</v>
      </c>
    </row>
    <row r="57" spans="1:13" ht="18" x14ac:dyDescent="0.2">
      <c r="A57" s="5">
        <v>42125</v>
      </c>
      <c r="B57" s="6">
        <v>20.079999999999998</v>
      </c>
      <c r="C57" s="6">
        <v>20.97</v>
      </c>
      <c r="D57" s="6">
        <v>19.88</v>
      </c>
      <c r="E57" s="6">
        <v>20.239999999999998</v>
      </c>
      <c r="F57" s="6">
        <v>13.88</v>
      </c>
      <c r="G57" s="7">
        <v>131519000</v>
      </c>
      <c r="J57" s="5">
        <v>42125</v>
      </c>
      <c r="K57">
        <f t="shared" si="3"/>
        <v>1.2399708242159002E-2</v>
      </c>
      <c r="L57">
        <f t="shared" si="4"/>
        <v>3.2512626262626299E-2</v>
      </c>
      <c r="M57">
        <f t="shared" si="5"/>
        <v>3.0973451327433611E-2</v>
      </c>
    </row>
    <row r="58" spans="1:13" ht="18" x14ac:dyDescent="0.2">
      <c r="A58" s="5">
        <v>42095</v>
      </c>
      <c r="B58" s="6">
        <v>18.78</v>
      </c>
      <c r="C58" s="6">
        <v>20.21</v>
      </c>
      <c r="D58" s="6">
        <v>18.63</v>
      </c>
      <c r="E58" s="6">
        <v>20</v>
      </c>
      <c r="F58" s="6">
        <v>13.71</v>
      </c>
      <c r="G58" s="7">
        <v>138580400</v>
      </c>
      <c r="J58" s="5">
        <v>42095</v>
      </c>
      <c r="K58">
        <f t="shared" si="3"/>
        <v>6.7757009345794469E-2</v>
      </c>
      <c r="L58">
        <f t="shared" si="4"/>
        <v>5.0397877984084863E-2</v>
      </c>
      <c r="M58">
        <f t="shared" si="5"/>
        <v>-1.8167456556082182E-2</v>
      </c>
    </row>
    <row r="59" spans="1:13" ht="18" x14ac:dyDescent="0.2">
      <c r="A59" s="5">
        <v>42064</v>
      </c>
      <c r="B59" s="6">
        <v>19.32</v>
      </c>
      <c r="C59" s="6">
        <v>19.75</v>
      </c>
      <c r="D59" s="6">
        <v>18.66</v>
      </c>
      <c r="E59" s="6">
        <v>18.850000000000001</v>
      </c>
      <c r="F59" s="6">
        <v>12.84</v>
      </c>
      <c r="G59" s="7">
        <v>182850100</v>
      </c>
      <c r="J59" s="5">
        <v>42064</v>
      </c>
      <c r="K59">
        <f t="shared" si="3"/>
        <v>-2.5796661608497713E-2</v>
      </c>
      <c r="L59">
        <f t="shared" si="4"/>
        <v>-9.8489822718319346E-3</v>
      </c>
      <c r="M59">
        <f t="shared" si="5"/>
        <v>3.1364562118126257E-2</v>
      </c>
    </row>
    <row r="60" spans="1:13" ht="18" x14ac:dyDescent="0.2">
      <c r="A60" s="5">
        <v>42036</v>
      </c>
      <c r="B60" s="6">
        <v>17.52</v>
      </c>
      <c r="C60" s="6">
        <v>19.54</v>
      </c>
      <c r="D60" s="6">
        <v>17.41</v>
      </c>
      <c r="E60" s="6">
        <v>19.36</v>
      </c>
      <c r="F60" s="6">
        <v>13.18</v>
      </c>
      <c r="G60" s="7">
        <v>177345400</v>
      </c>
      <c r="J60" s="5">
        <v>42036</v>
      </c>
      <c r="K60">
        <f t="shared" si="3"/>
        <v>0.11884550084889647</v>
      </c>
      <c r="L60">
        <f t="shared" si="4"/>
        <v>0.10322346975733435</v>
      </c>
      <c r="M60">
        <f t="shared" si="5"/>
        <v>7.817303469477388E-2</v>
      </c>
    </row>
    <row r="61" spans="1:13" ht="18" x14ac:dyDescent="0.2">
      <c r="A61" s="5">
        <v>42005</v>
      </c>
      <c r="B61" s="6">
        <v>20.41</v>
      </c>
      <c r="C61" s="6">
        <v>20.53</v>
      </c>
      <c r="D61" s="6">
        <v>17.14</v>
      </c>
      <c r="E61" s="6">
        <v>17.3</v>
      </c>
      <c r="F61" s="6">
        <v>11.78</v>
      </c>
      <c r="G61" s="7">
        <v>250856400</v>
      </c>
      <c r="J61" s="5">
        <v>42005</v>
      </c>
      <c r="K61">
        <f t="shared" si="3"/>
        <v>-0.1457577955039884</v>
      </c>
      <c r="L61">
        <f t="shared" si="4"/>
        <v>-0.11392811296534021</v>
      </c>
      <c r="M61">
        <f t="shared" si="5"/>
        <v>-9.2467118373854143E-2</v>
      </c>
    </row>
    <row r="62" spans="1:13" ht="18" x14ac:dyDescent="0.2">
      <c r="A62" s="5">
        <v>41974</v>
      </c>
      <c r="B62" s="6">
        <v>20.02</v>
      </c>
      <c r="C62" s="6">
        <v>20.82</v>
      </c>
      <c r="D62" s="6">
        <v>19.23</v>
      </c>
      <c r="E62" s="6">
        <v>20.38</v>
      </c>
      <c r="F62" s="6">
        <v>13.79</v>
      </c>
      <c r="G62" s="7">
        <v>157201400</v>
      </c>
    </row>
    <row r="66" spans="1:16" x14ac:dyDescent="0.2">
      <c r="A66" s="4" t="s">
        <v>7</v>
      </c>
      <c r="B66" s="4" t="s">
        <v>8</v>
      </c>
      <c r="C66" s="4" t="s">
        <v>9</v>
      </c>
      <c r="D66" s="4" t="s">
        <v>10</v>
      </c>
      <c r="E66" s="4" t="s">
        <v>11</v>
      </c>
      <c r="F66" s="4" t="s">
        <v>12</v>
      </c>
      <c r="G66" s="4" t="s">
        <v>13</v>
      </c>
      <c r="J66" s="4" t="s">
        <v>0</v>
      </c>
      <c r="K66">
        <f>AVERAGE(K2:K61)</f>
        <v>1.207971022125962E-2</v>
      </c>
      <c r="L66">
        <f>AVERAGE(L2:L61)</f>
        <v>1.25873089274632E-2</v>
      </c>
      <c r="M66">
        <f>AVERAGE(M2:M61)</f>
        <v>1.0542663170121144E-2</v>
      </c>
    </row>
    <row r="67" spans="1:16" ht="18" x14ac:dyDescent="0.2">
      <c r="A67" s="5">
        <v>43800</v>
      </c>
      <c r="B67" s="16">
        <v>70.87</v>
      </c>
      <c r="C67" s="16">
        <v>73.430000000000007</v>
      </c>
      <c r="D67" s="16">
        <v>68.13</v>
      </c>
      <c r="E67" s="16">
        <v>71.75</v>
      </c>
      <c r="F67" s="16">
        <v>53.34</v>
      </c>
      <c r="G67" s="17">
        <v>31531722</v>
      </c>
    </row>
    <row r="68" spans="1:16" ht="18" x14ac:dyDescent="0.2">
      <c r="A68" s="5">
        <v>43770</v>
      </c>
      <c r="B68" s="16">
        <v>66.209999999999994</v>
      </c>
      <c r="C68" s="16">
        <v>72.61</v>
      </c>
      <c r="D68" s="16">
        <v>65.67</v>
      </c>
      <c r="E68" s="16">
        <v>70.41</v>
      </c>
      <c r="F68" s="16">
        <v>51.84</v>
      </c>
      <c r="G68" s="17">
        <v>23963274</v>
      </c>
      <c r="J68" t="s">
        <v>1</v>
      </c>
      <c r="K68">
        <f>_xlfn.STDEV.S(K2:K61)</f>
        <v>7.6727451145839259E-2</v>
      </c>
      <c r="L68">
        <f>_xlfn.STDEV.S(L2:L61)</f>
        <v>8.5152530753425326E-2</v>
      </c>
      <c r="M68">
        <f>_xlfn.STDEV.S(M2:M61)</f>
        <v>6.0741597764750493E-2</v>
      </c>
    </row>
    <row r="69" spans="1:16" ht="18" x14ac:dyDescent="0.2">
      <c r="A69" s="5">
        <v>43739</v>
      </c>
      <c r="B69" s="16">
        <v>66.430000000000007</v>
      </c>
      <c r="C69" s="16">
        <v>68</v>
      </c>
      <c r="D69" s="16">
        <v>61.43</v>
      </c>
      <c r="E69" s="16">
        <v>65.42</v>
      </c>
      <c r="F69" s="16">
        <v>48.17</v>
      </c>
      <c r="G69" s="17">
        <v>33898657</v>
      </c>
    </row>
    <row r="70" spans="1:16" ht="18" x14ac:dyDescent="0.2">
      <c r="A70" s="5">
        <v>43709</v>
      </c>
      <c r="B70" s="16">
        <v>60.88</v>
      </c>
      <c r="C70" s="16">
        <v>67.180000000000007</v>
      </c>
      <c r="D70" s="16">
        <v>59.53</v>
      </c>
      <c r="E70" s="16">
        <v>65.989999999999995</v>
      </c>
      <c r="F70" s="16">
        <v>48.59</v>
      </c>
      <c r="G70" s="17">
        <v>39351667</v>
      </c>
      <c r="J70" t="s">
        <v>2</v>
      </c>
      <c r="K70">
        <f>_xlfn.COVARIANCE.S(K2:K61,K2:K61)</f>
        <v>5.8871017593371501E-3</v>
      </c>
      <c r="L70">
        <f>_xlfn.COVARIANCE.S(L2:L61,L2:L61)</f>
        <v>7.2509534937130488E-3</v>
      </c>
      <c r="M70">
        <f>_xlfn.COVARIANCE.S(M2:M61,M2:M61)</f>
        <v>3.6895416990147425E-3</v>
      </c>
      <c r="N70">
        <f>_xlfn.COVARIANCE.S(K2:K61,L2:L61)</f>
        <v>5.6648075996524007E-3</v>
      </c>
      <c r="O70">
        <f>_xlfn.COVARIANCE.S(K2:K61,M2:M61)</f>
        <v>4.1353751862191679E-3</v>
      </c>
      <c r="P70">
        <f>_xlfn.COVARIANCE.S(L2:L61,M2:M61)</f>
        <v>4.2689499794029903E-3</v>
      </c>
    </row>
    <row r="71" spans="1:16" ht="18" x14ac:dyDescent="0.2">
      <c r="A71" s="5">
        <v>43678</v>
      </c>
      <c r="B71" s="16">
        <v>72.989999999999995</v>
      </c>
      <c r="C71" s="16">
        <v>73.08</v>
      </c>
      <c r="D71" s="16">
        <v>58.54</v>
      </c>
      <c r="E71" s="16">
        <v>61.65</v>
      </c>
      <c r="F71" s="16">
        <v>44.93</v>
      </c>
      <c r="G71" s="17">
        <v>39847024</v>
      </c>
      <c r="K71" s="3">
        <v>4.2361111111111113E-2</v>
      </c>
      <c r="L71" s="3">
        <v>8.4722222222222227E-2</v>
      </c>
      <c r="M71" s="3">
        <v>0.12708333333333333</v>
      </c>
      <c r="N71" s="3">
        <v>4.3055555555555555E-2</v>
      </c>
      <c r="O71" s="3">
        <v>4.3749999999999997E-2</v>
      </c>
      <c r="P71" s="3">
        <v>8.5416666666666669E-2</v>
      </c>
    </row>
    <row r="72" spans="1:16" ht="18" x14ac:dyDescent="0.2">
      <c r="A72" s="5">
        <v>43647</v>
      </c>
      <c r="B72" s="16">
        <v>73.5</v>
      </c>
      <c r="C72" s="16">
        <v>74.11</v>
      </c>
      <c r="D72" s="16">
        <v>67.39</v>
      </c>
      <c r="E72" s="16">
        <v>73.2</v>
      </c>
      <c r="F72" s="16">
        <v>53.35</v>
      </c>
      <c r="G72" s="17">
        <v>45686203</v>
      </c>
    </row>
    <row r="73" spans="1:16" ht="18" x14ac:dyDescent="0.2">
      <c r="A73" s="5">
        <v>43617</v>
      </c>
      <c r="B73" s="16">
        <v>68.72</v>
      </c>
      <c r="C73" s="16">
        <v>72.87</v>
      </c>
      <c r="D73" s="16">
        <v>68.16</v>
      </c>
      <c r="E73" s="16">
        <v>72.64</v>
      </c>
      <c r="F73" s="16">
        <v>52.94</v>
      </c>
      <c r="G73" s="17">
        <v>36614031</v>
      </c>
      <c r="J73" t="s">
        <v>24</v>
      </c>
    </row>
    <row r="74" spans="1:16" ht="18" x14ac:dyDescent="0.2">
      <c r="A74" s="5">
        <v>43586</v>
      </c>
      <c r="B74" s="16">
        <v>78.42</v>
      </c>
      <c r="C74" s="16">
        <v>79.13</v>
      </c>
      <c r="D74" s="16">
        <v>68.62</v>
      </c>
      <c r="E74" s="16">
        <v>68.819999999999993</v>
      </c>
      <c r="F74" s="16">
        <v>49.67</v>
      </c>
      <c r="G74" s="17">
        <v>34020826</v>
      </c>
      <c r="K74">
        <v>5.8871000000000001E-3</v>
      </c>
      <c r="L74">
        <v>5.6648100000000002E-3</v>
      </c>
      <c r="M74">
        <v>4.1353800000000001E-3</v>
      </c>
    </row>
    <row r="75" spans="1:16" ht="18" x14ac:dyDescent="0.2">
      <c r="A75" s="5">
        <v>43556</v>
      </c>
      <c r="B75" s="16">
        <v>73.88</v>
      </c>
      <c r="C75" s="16">
        <v>80.62</v>
      </c>
      <c r="D75" s="16">
        <v>73.86</v>
      </c>
      <c r="E75" s="16">
        <v>78.59</v>
      </c>
      <c r="F75" s="16">
        <v>56.73</v>
      </c>
      <c r="G75" s="17">
        <v>41937018</v>
      </c>
      <c r="K75">
        <v>5.6648100000000002E-3</v>
      </c>
      <c r="L75">
        <v>7.2509499999999999E-3</v>
      </c>
      <c r="M75">
        <v>4.2689499999999997E-3</v>
      </c>
    </row>
    <row r="76" spans="1:16" ht="18" x14ac:dyDescent="0.2">
      <c r="A76" s="5">
        <v>43525</v>
      </c>
      <c r="B76" s="16">
        <v>87.67</v>
      </c>
      <c r="C76" s="16">
        <v>88.35</v>
      </c>
      <c r="D76" s="16">
        <v>71.180000000000007</v>
      </c>
      <c r="E76" s="16">
        <v>73.319999999999993</v>
      </c>
      <c r="F76" s="16">
        <v>52.92</v>
      </c>
      <c r="G76" s="17">
        <v>45956864</v>
      </c>
      <c r="K76">
        <v>4.1353800000000001E-3</v>
      </c>
      <c r="L76">
        <v>4.2689499999999997E-3</v>
      </c>
      <c r="M76">
        <v>3.6895399999999998E-3</v>
      </c>
    </row>
    <row r="77" spans="1:16" ht="18" x14ac:dyDescent="0.2">
      <c r="A77" s="5">
        <v>43497</v>
      </c>
      <c r="B77" s="16">
        <v>78.989999999999995</v>
      </c>
      <c r="C77" s="16">
        <v>88.96</v>
      </c>
      <c r="D77" s="16">
        <v>78.260000000000005</v>
      </c>
      <c r="E77" s="16">
        <v>87.11</v>
      </c>
      <c r="F77" s="16">
        <v>62.36</v>
      </c>
      <c r="G77" s="17">
        <v>35381928</v>
      </c>
    </row>
    <row r="78" spans="1:16" ht="18" x14ac:dyDescent="0.2">
      <c r="A78" s="5">
        <v>43466</v>
      </c>
      <c r="B78" s="16">
        <v>67.569999999999993</v>
      </c>
      <c r="C78" s="16">
        <v>82.81</v>
      </c>
      <c r="D78" s="16">
        <v>67.459999999999994</v>
      </c>
      <c r="E78" s="16">
        <v>78.739999999999995</v>
      </c>
      <c r="F78" s="16">
        <v>56.37</v>
      </c>
      <c r="G78" s="17">
        <v>45051177</v>
      </c>
      <c r="J78" t="s">
        <v>4</v>
      </c>
    </row>
    <row r="79" spans="1:16" ht="18" x14ac:dyDescent="0.2">
      <c r="A79" s="5">
        <v>43435</v>
      </c>
      <c r="B79" s="16">
        <v>80.31</v>
      </c>
      <c r="C79" s="16">
        <v>81.12</v>
      </c>
      <c r="D79" s="16">
        <v>63.69</v>
      </c>
      <c r="E79" s="16">
        <v>68.69</v>
      </c>
      <c r="F79" s="16">
        <v>49.18</v>
      </c>
      <c r="G79" s="17">
        <v>53906662</v>
      </c>
      <c r="K79" cm="1">
        <f t="array" ref="K79:M81">MINVERSE(K74:M76)</f>
        <v>1090.5180826404783</v>
      </c>
      <c r="L79">
        <v>-415.15037015312055</v>
      </c>
      <c r="M79">
        <v>-741.94899524727145</v>
      </c>
      <c r="O79">
        <v>1</v>
      </c>
    </row>
    <row r="80" spans="1:16" ht="18" x14ac:dyDescent="0.2">
      <c r="A80" s="5">
        <v>43405</v>
      </c>
      <c r="B80" s="16">
        <v>81.96</v>
      </c>
      <c r="C80" s="16">
        <v>85.54</v>
      </c>
      <c r="D80" s="16">
        <v>77.33</v>
      </c>
      <c r="E80" s="16">
        <v>79.180000000000007</v>
      </c>
      <c r="F80" s="16">
        <v>56.22</v>
      </c>
      <c r="G80" s="17">
        <v>42056236</v>
      </c>
      <c r="K80">
        <v>-415.15037015312049</v>
      </c>
      <c r="L80">
        <v>590.64502537653505</v>
      </c>
      <c r="M80">
        <v>-218.08397343770429</v>
      </c>
      <c r="O80">
        <v>1</v>
      </c>
    </row>
    <row r="81" spans="1:15" ht="18" x14ac:dyDescent="0.2">
      <c r="A81" s="5">
        <v>43374</v>
      </c>
      <c r="B81" s="16">
        <v>91.36</v>
      </c>
      <c r="C81" s="16">
        <v>93.8</v>
      </c>
      <c r="D81" s="16">
        <v>78.11</v>
      </c>
      <c r="E81" s="16">
        <v>81.56</v>
      </c>
      <c r="F81" s="16">
        <v>57.91</v>
      </c>
      <c r="G81" s="17">
        <v>47426295</v>
      </c>
      <c r="K81">
        <v>-741.94899524727123</v>
      </c>
      <c r="L81">
        <v>-218.08397343770426</v>
      </c>
      <c r="M81">
        <v>1354.9739572880492</v>
      </c>
      <c r="O81">
        <v>1</v>
      </c>
    </row>
    <row r="82" spans="1:15" ht="18" x14ac:dyDescent="0.2">
      <c r="A82" s="5">
        <v>43344</v>
      </c>
      <c r="B82" s="16">
        <v>97.64</v>
      </c>
      <c r="C82" s="16">
        <v>98.75</v>
      </c>
      <c r="D82" s="16">
        <v>89.98</v>
      </c>
      <c r="E82" s="16">
        <v>90.2</v>
      </c>
      <c r="F82" s="16">
        <v>64.040000000000006</v>
      </c>
      <c r="G82" s="17">
        <v>30904089</v>
      </c>
    </row>
    <row r="83" spans="1:15" ht="18" x14ac:dyDescent="0.2">
      <c r="A83" s="5">
        <v>43313</v>
      </c>
      <c r="B83" s="16">
        <v>97.67</v>
      </c>
      <c r="C83" s="16">
        <v>100.64</v>
      </c>
      <c r="D83" s="16">
        <v>95.89</v>
      </c>
      <c r="E83" s="16">
        <v>97.48</v>
      </c>
      <c r="F83" s="16">
        <v>68.77</v>
      </c>
      <c r="G83" s="17">
        <v>30760444</v>
      </c>
    </row>
    <row r="84" spans="1:15" ht="18" x14ac:dyDescent="0.2">
      <c r="A84" s="5">
        <v>43282</v>
      </c>
      <c r="B84" s="16">
        <v>90.48</v>
      </c>
      <c r="C84" s="16">
        <v>97.77</v>
      </c>
      <c r="D84" s="16">
        <v>88.63</v>
      </c>
      <c r="E84" s="16">
        <v>96.94</v>
      </c>
      <c r="F84" s="16">
        <v>68.39</v>
      </c>
      <c r="G84" s="17">
        <v>39434732</v>
      </c>
      <c r="K84" cm="1">
        <f t="array" ref="K84:K86">MMULT(MINVERSE(K74:M76),O79:O81)</f>
        <v>-66.581282759913734</v>
      </c>
    </row>
    <row r="85" spans="1:15" ht="18" x14ac:dyDescent="0.2">
      <c r="A85" s="5">
        <v>43252</v>
      </c>
      <c r="B85" s="16">
        <v>95.7</v>
      </c>
      <c r="C85" s="16">
        <v>98.3</v>
      </c>
      <c r="D85" s="16">
        <v>90.4</v>
      </c>
      <c r="E85" s="16">
        <v>90.92</v>
      </c>
      <c r="F85" s="16">
        <v>64.150000000000006</v>
      </c>
      <c r="G85" s="17">
        <v>38927613</v>
      </c>
      <c r="K85">
        <v>-42.589318214289733</v>
      </c>
    </row>
    <row r="86" spans="1:15" ht="18" x14ac:dyDescent="0.2">
      <c r="A86" s="5">
        <v>43221</v>
      </c>
      <c r="B86" s="16">
        <v>94.42</v>
      </c>
      <c r="C86" s="16">
        <v>101.05</v>
      </c>
      <c r="D86" s="16">
        <v>91.49</v>
      </c>
      <c r="E86" s="16">
        <v>94.29</v>
      </c>
      <c r="F86" s="16">
        <v>66.290000000000006</v>
      </c>
      <c r="G86" s="17">
        <v>29609340</v>
      </c>
      <c r="K86">
        <v>394.94098860307372</v>
      </c>
      <c r="M86" t="s">
        <v>86</v>
      </c>
    </row>
    <row r="87" spans="1:15" ht="18" x14ac:dyDescent="0.2">
      <c r="A87" s="5">
        <v>43191</v>
      </c>
      <c r="B87" s="16">
        <v>95.62</v>
      </c>
      <c r="C87" s="16">
        <v>99.37</v>
      </c>
      <c r="D87" s="16">
        <v>91.95</v>
      </c>
      <c r="E87" s="16">
        <v>94.58</v>
      </c>
      <c r="F87" s="16">
        <v>66.489999999999995</v>
      </c>
      <c r="G87" s="17">
        <v>33493400</v>
      </c>
      <c r="M87">
        <f>K84/SUM(_xlfn.ANCHORARRAY(K84))</f>
        <v>-0.23298874075918177</v>
      </c>
    </row>
    <row r="88" spans="1:15" ht="18" x14ac:dyDescent="0.2">
      <c r="A88" s="5">
        <v>43160</v>
      </c>
      <c r="B88" s="16">
        <v>97.22</v>
      </c>
      <c r="C88" s="16">
        <v>102.66</v>
      </c>
      <c r="D88" s="16">
        <v>91.5</v>
      </c>
      <c r="E88" s="16">
        <v>95.93</v>
      </c>
      <c r="F88" s="16">
        <v>67.44</v>
      </c>
      <c r="G88" s="17">
        <v>34539024</v>
      </c>
      <c r="M88">
        <f>K85/SUM(_xlfn.ANCHORARRAY(K84))</f>
        <v>-0.14903335005305182</v>
      </c>
    </row>
    <row r="89" spans="1:15" ht="18" x14ac:dyDescent="0.2">
      <c r="A89" s="5">
        <v>43132</v>
      </c>
      <c r="B89" s="16">
        <v>95.16</v>
      </c>
      <c r="C89" s="16">
        <v>101.73</v>
      </c>
      <c r="D89" s="16">
        <v>88.15</v>
      </c>
      <c r="E89" s="16">
        <v>97.22</v>
      </c>
      <c r="F89" s="16">
        <v>68.14</v>
      </c>
      <c r="G89" s="17">
        <v>27986686</v>
      </c>
      <c r="M89">
        <f>K86/SUM(_xlfn.ANCHORARRAY(K84))</f>
        <v>1.3820220908122336</v>
      </c>
    </row>
    <row r="90" spans="1:15" ht="18" x14ac:dyDescent="0.2">
      <c r="A90" s="5">
        <v>43101</v>
      </c>
      <c r="B90" s="16">
        <v>87.36</v>
      </c>
      <c r="C90" s="16">
        <v>96.53</v>
      </c>
      <c r="D90" s="16">
        <v>86.02</v>
      </c>
      <c r="E90" s="16">
        <v>95.22</v>
      </c>
      <c r="F90" s="16">
        <v>66.739999999999995</v>
      </c>
      <c r="G90" s="17">
        <v>31959542</v>
      </c>
    </row>
    <row r="91" spans="1:15" ht="18" x14ac:dyDescent="0.2">
      <c r="A91" s="5">
        <v>43070</v>
      </c>
      <c r="B91" s="16">
        <v>83.45</v>
      </c>
      <c r="C91" s="16">
        <v>88.22</v>
      </c>
      <c r="D91" s="16">
        <v>81.459999999999994</v>
      </c>
      <c r="E91" s="16">
        <v>86.81</v>
      </c>
      <c r="F91" s="16">
        <v>60.85</v>
      </c>
      <c r="G91" s="17">
        <v>31894179</v>
      </c>
      <c r="K91">
        <f>SUM(K79:K81)</f>
        <v>-66.581282759913506</v>
      </c>
    </row>
    <row r="92" spans="1:15" ht="18" x14ac:dyDescent="0.2">
      <c r="A92" s="5">
        <v>43040</v>
      </c>
      <c r="B92" s="16">
        <v>79.08</v>
      </c>
      <c r="C92" s="16">
        <v>85.28</v>
      </c>
      <c r="D92" s="16">
        <v>74.16</v>
      </c>
      <c r="E92" s="16">
        <v>83.31</v>
      </c>
      <c r="F92" s="16">
        <v>58.19</v>
      </c>
      <c r="G92" s="17">
        <v>33115558</v>
      </c>
      <c r="K92">
        <f>SUM(L79:L81)</f>
        <v>-42.589318214289761</v>
      </c>
    </row>
    <row r="93" spans="1:15" ht="18" x14ac:dyDescent="0.2">
      <c r="A93" s="5">
        <v>43009</v>
      </c>
      <c r="B93" s="16">
        <v>76.36</v>
      </c>
      <c r="C93" s="16">
        <v>80.25</v>
      </c>
      <c r="D93" s="16">
        <v>74.66</v>
      </c>
      <c r="E93" s="16">
        <v>78.569999999999993</v>
      </c>
      <c r="F93" s="16">
        <v>54.87</v>
      </c>
      <c r="G93" s="17">
        <v>35206271</v>
      </c>
      <c r="K93">
        <f>SUM(M79:M81)</f>
        <v>394.94098860307349</v>
      </c>
    </row>
    <row r="94" spans="1:15" ht="18" x14ac:dyDescent="0.2">
      <c r="A94" s="5">
        <v>42979</v>
      </c>
      <c r="B94" s="16">
        <v>68.47</v>
      </c>
      <c r="C94" s="16">
        <v>76.760000000000005</v>
      </c>
      <c r="D94" s="16">
        <v>64.040000000000006</v>
      </c>
      <c r="E94" s="16">
        <v>76.260000000000005</v>
      </c>
      <c r="F94" s="16">
        <v>53.26</v>
      </c>
      <c r="G94" s="17">
        <v>36554450</v>
      </c>
      <c r="K94">
        <f>SUM(K91:K93)</f>
        <v>285.77038762887025</v>
      </c>
      <c r="M94" t="s">
        <v>86</v>
      </c>
    </row>
    <row r="95" spans="1:15" ht="18" x14ac:dyDescent="0.2">
      <c r="A95" s="5">
        <v>42948</v>
      </c>
      <c r="B95" s="16">
        <v>72.959999999999994</v>
      </c>
      <c r="C95" s="16">
        <v>74.77</v>
      </c>
      <c r="D95" s="16">
        <v>67.67</v>
      </c>
      <c r="E95" s="16">
        <v>68.25</v>
      </c>
      <c r="F95" s="16">
        <v>47.46</v>
      </c>
      <c r="G95" s="17">
        <v>31093177</v>
      </c>
      <c r="M95">
        <f>1/K94*K91</f>
        <v>-0.23298874075918097</v>
      </c>
    </row>
    <row r="96" spans="1:15" ht="18" x14ac:dyDescent="0.2">
      <c r="A96" s="5">
        <v>42917</v>
      </c>
      <c r="B96" s="16">
        <v>73.91</v>
      </c>
      <c r="C96" s="16">
        <v>75.72</v>
      </c>
      <c r="D96" s="16">
        <v>71.11</v>
      </c>
      <c r="E96" s="16">
        <v>72.31</v>
      </c>
      <c r="F96" s="16">
        <v>50.28</v>
      </c>
      <c r="G96" s="17">
        <v>31955300</v>
      </c>
      <c r="M96">
        <f>1/K94*K92</f>
        <v>-0.14903335005305193</v>
      </c>
    </row>
    <row r="97" spans="1:15" ht="18" x14ac:dyDescent="0.2">
      <c r="A97" s="5">
        <v>42887</v>
      </c>
      <c r="B97" s="16">
        <v>69.2</v>
      </c>
      <c r="C97" s="16">
        <v>75.3</v>
      </c>
      <c r="D97" s="16">
        <v>67.63</v>
      </c>
      <c r="E97" s="16">
        <v>73.239999999999995</v>
      </c>
      <c r="F97" s="16">
        <v>50.93</v>
      </c>
      <c r="G97" s="17">
        <v>43299157</v>
      </c>
      <c r="M97">
        <f>1/K94*K93</f>
        <v>1.3820220908122327</v>
      </c>
    </row>
    <row r="98" spans="1:15" ht="18" x14ac:dyDescent="0.2">
      <c r="A98" s="5">
        <v>42856</v>
      </c>
      <c r="B98" s="16">
        <v>71.05</v>
      </c>
      <c r="C98" s="16">
        <v>73.41</v>
      </c>
      <c r="D98" s="16">
        <v>66.7</v>
      </c>
      <c r="E98" s="16">
        <v>68.56</v>
      </c>
      <c r="F98" s="16">
        <v>47.5</v>
      </c>
      <c r="G98" s="17">
        <v>35262146</v>
      </c>
    </row>
    <row r="99" spans="1:15" ht="18" x14ac:dyDescent="0.2">
      <c r="A99" s="5">
        <v>42826</v>
      </c>
      <c r="B99" s="16">
        <v>68.739999999999995</v>
      </c>
      <c r="C99" s="16">
        <v>72.3</v>
      </c>
      <c r="D99" s="16">
        <v>64.75</v>
      </c>
      <c r="E99" s="16">
        <v>70.7</v>
      </c>
      <c r="F99" s="16">
        <v>48.99</v>
      </c>
      <c r="G99" s="17">
        <v>38282453</v>
      </c>
      <c r="J99" t="s">
        <v>20</v>
      </c>
    </row>
    <row r="100" spans="1:15" ht="18" x14ac:dyDescent="0.2">
      <c r="A100" s="5">
        <v>42795</v>
      </c>
      <c r="B100" s="16">
        <v>73.349999999999994</v>
      </c>
      <c r="C100" s="16">
        <v>75</v>
      </c>
      <c r="D100" s="16">
        <v>64.27</v>
      </c>
      <c r="E100" s="16">
        <v>68.58</v>
      </c>
      <c r="F100" s="16">
        <v>47.52</v>
      </c>
      <c r="G100" s="17">
        <v>38481976</v>
      </c>
      <c r="K100" s="12">
        <f>(M95)*(K66) + (M96)*(L66) + (M97)*(M66)</f>
        <v>9.8798281063003281E-3</v>
      </c>
      <c r="L100" s="18"/>
    </row>
    <row r="101" spans="1:15" ht="18" x14ac:dyDescent="0.2">
      <c r="A101" s="5">
        <v>42767</v>
      </c>
      <c r="B101" s="16">
        <v>68.31</v>
      </c>
      <c r="C101" s="16">
        <v>73.849999999999994</v>
      </c>
      <c r="D101" s="16">
        <v>66.8</v>
      </c>
      <c r="E101" s="16">
        <v>71.28</v>
      </c>
      <c r="F101" s="16">
        <v>49.23</v>
      </c>
      <c r="G101" s="17">
        <v>33820640</v>
      </c>
      <c r="L101">
        <f>M95*K66</f>
        <v>-2.8144364731870863E-3</v>
      </c>
      <c r="N101" t="s">
        <v>87</v>
      </c>
      <c r="O101" cm="1">
        <f t="array" ref="O101">MMULT(TRANSPOSE(M95:M97),MMULT(K74:M76,M95:M97))</f>
        <v>3.499312886465687E-3</v>
      </c>
    </row>
    <row r="102" spans="1:15" ht="18" x14ac:dyDescent="0.2">
      <c r="A102" s="5">
        <v>42736</v>
      </c>
      <c r="B102" s="16">
        <v>68.930000000000007</v>
      </c>
      <c r="C102" s="16">
        <v>71.2</v>
      </c>
      <c r="D102" s="16">
        <v>64.91</v>
      </c>
      <c r="E102" s="16">
        <v>67.53</v>
      </c>
      <c r="F102" s="16">
        <v>46.64</v>
      </c>
      <c r="G102" s="17">
        <v>35227968</v>
      </c>
      <c r="L102">
        <f>M96*L66</f>
        <v>-1.8759288176125287E-3</v>
      </c>
      <c r="N102" t="s">
        <v>88</v>
      </c>
      <c r="O102">
        <f>SQRT(O101)</f>
        <v>5.9154990376684931E-2</v>
      </c>
    </row>
    <row r="103" spans="1:15" ht="18" x14ac:dyDescent="0.2">
      <c r="A103" s="5">
        <v>42705</v>
      </c>
      <c r="B103" s="16">
        <v>64.010000000000005</v>
      </c>
      <c r="C103" s="16">
        <v>70.44</v>
      </c>
      <c r="D103" s="16">
        <v>63.97</v>
      </c>
      <c r="E103" s="16">
        <v>68.11</v>
      </c>
      <c r="F103" s="16">
        <v>47.04</v>
      </c>
      <c r="G103" s="17">
        <v>46233561</v>
      </c>
      <c r="L103">
        <f>M97*M66</f>
        <v>1.4570193397099944E-2</v>
      </c>
    </row>
    <row r="104" spans="1:15" ht="18" x14ac:dyDescent="0.2">
      <c r="A104" s="5">
        <v>42675</v>
      </c>
      <c r="B104" s="16">
        <v>52.39</v>
      </c>
      <c r="C104" s="16">
        <v>63.99</v>
      </c>
      <c r="D104" s="16">
        <v>49.81</v>
      </c>
      <c r="E104" s="16">
        <v>63.75</v>
      </c>
      <c r="F104" s="16">
        <v>43.88</v>
      </c>
      <c r="G104" s="17">
        <v>52683538</v>
      </c>
      <c r="L104">
        <f>SUM(L101:L103)</f>
        <v>9.8798281063003281E-3</v>
      </c>
    </row>
    <row r="105" spans="1:15" ht="18" x14ac:dyDescent="0.2">
      <c r="A105" s="5">
        <v>42644</v>
      </c>
      <c r="B105" s="16">
        <v>46.82</v>
      </c>
      <c r="C105" s="16">
        <v>52.59</v>
      </c>
      <c r="D105" s="16">
        <v>46.75</v>
      </c>
      <c r="E105" s="16">
        <v>52.09</v>
      </c>
      <c r="F105" s="16">
        <v>35.86</v>
      </c>
      <c r="G105" s="17">
        <v>46816334</v>
      </c>
    </row>
    <row r="106" spans="1:15" ht="18" x14ac:dyDescent="0.2">
      <c r="A106" s="5">
        <v>42614</v>
      </c>
      <c r="B106" s="16">
        <v>47.5</v>
      </c>
      <c r="C106" s="16">
        <v>47.81</v>
      </c>
      <c r="D106" s="16">
        <v>45.14</v>
      </c>
      <c r="E106" s="16">
        <v>47.32</v>
      </c>
      <c r="F106" s="16">
        <v>32.57</v>
      </c>
      <c r="G106" s="17">
        <v>35357136</v>
      </c>
    </row>
    <row r="107" spans="1:15" ht="18" x14ac:dyDescent="0.2">
      <c r="A107" s="5">
        <v>42583</v>
      </c>
      <c r="B107" s="16">
        <v>45.38</v>
      </c>
      <c r="C107" s="16">
        <v>47.6</v>
      </c>
      <c r="D107" s="16">
        <v>43.74</v>
      </c>
      <c r="E107" s="16">
        <v>47.29</v>
      </c>
      <c r="F107" s="16">
        <v>32.39</v>
      </c>
      <c r="G107" s="17">
        <v>46645900</v>
      </c>
    </row>
    <row r="108" spans="1:15" ht="18" x14ac:dyDescent="0.2">
      <c r="A108" s="5">
        <v>42552</v>
      </c>
      <c r="B108" s="16">
        <v>40.619999999999997</v>
      </c>
      <c r="C108" s="16">
        <v>46.37</v>
      </c>
      <c r="D108" s="16">
        <v>38.39</v>
      </c>
      <c r="E108" s="16">
        <v>45.24</v>
      </c>
      <c r="F108" s="16">
        <v>30.99</v>
      </c>
      <c r="G108" s="17">
        <v>36315365</v>
      </c>
    </row>
    <row r="109" spans="1:15" ht="18" x14ac:dyDescent="0.2">
      <c r="A109" s="5">
        <v>42522</v>
      </c>
      <c r="B109" s="16">
        <v>46.46</v>
      </c>
      <c r="C109" s="16">
        <v>47.55</v>
      </c>
      <c r="D109" s="16">
        <v>36.82</v>
      </c>
      <c r="E109" s="16">
        <v>41.13</v>
      </c>
      <c r="F109" s="16">
        <v>28.17</v>
      </c>
      <c r="G109" s="17">
        <v>56159837</v>
      </c>
    </row>
    <row r="110" spans="1:15" ht="18" x14ac:dyDescent="0.2">
      <c r="A110" s="5">
        <v>42491</v>
      </c>
      <c r="B110" s="16">
        <v>44.57</v>
      </c>
      <c r="C110" s="16">
        <v>47.49</v>
      </c>
      <c r="D110" s="16">
        <v>41.71</v>
      </c>
      <c r="E110" s="16">
        <v>47.1</v>
      </c>
      <c r="F110" s="16">
        <v>32.1</v>
      </c>
      <c r="G110" s="17">
        <v>44911818</v>
      </c>
    </row>
    <row r="111" spans="1:15" ht="18" x14ac:dyDescent="0.2">
      <c r="A111" s="5">
        <v>42461</v>
      </c>
      <c r="B111" s="16">
        <v>37.58</v>
      </c>
      <c r="C111" s="16">
        <v>45.99</v>
      </c>
      <c r="D111" s="16">
        <v>36.270000000000003</v>
      </c>
      <c r="E111" s="16">
        <v>44.4</v>
      </c>
      <c r="F111" s="16">
        <v>30.26</v>
      </c>
      <c r="G111" s="17">
        <v>71384121</v>
      </c>
    </row>
    <row r="112" spans="1:15" ht="18" x14ac:dyDescent="0.2">
      <c r="A112" s="5">
        <v>42430</v>
      </c>
      <c r="B112" s="16">
        <v>33.89</v>
      </c>
      <c r="C112" s="16">
        <v>39.85</v>
      </c>
      <c r="D112" s="16">
        <v>33.61</v>
      </c>
      <c r="E112" s="16">
        <v>37.869999999999997</v>
      </c>
      <c r="F112" s="16">
        <v>25.81</v>
      </c>
      <c r="G112" s="17">
        <v>58899028</v>
      </c>
    </row>
    <row r="113" spans="1:7" ht="18" x14ac:dyDescent="0.2">
      <c r="A113" s="5">
        <v>42401</v>
      </c>
      <c r="B113" s="16">
        <v>34.28</v>
      </c>
      <c r="C113" s="16">
        <v>35.85</v>
      </c>
      <c r="D113" s="16">
        <v>30.48</v>
      </c>
      <c r="E113" s="16">
        <v>33.78</v>
      </c>
      <c r="F113" s="16">
        <v>22.89</v>
      </c>
      <c r="G113" s="17">
        <v>78207100</v>
      </c>
    </row>
    <row r="114" spans="1:7" ht="18" x14ac:dyDescent="0.2">
      <c r="A114" s="5">
        <v>42370</v>
      </c>
      <c r="B114" s="16">
        <v>40.61</v>
      </c>
      <c r="C114" s="16">
        <v>41.74</v>
      </c>
      <c r="D114" s="16">
        <v>31.92</v>
      </c>
      <c r="E114" s="16">
        <v>34.299999999999997</v>
      </c>
      <c r="F114" s="16">
        <v>23.24</v>
      </c>
      <c r="G114" s="17">
        <v>67310468</v>
      </c>
    </row>
    <row r="115" spans="1:7" ht="18" x14ac:dyDescent="0.2">
      <c r="A115" s="5">
        <v>42339</v>
      </c>
      <c r="B115" s="16">
        <v>46.74</v>
      </c>
      <c r="C115" s="16">
        <v>47.1</v>
      </c>
      <c r="D115" s="16">
        <v>40.44</v>
      </c>
      <c r="E115" s="16">
        <v>41.83</v>
      </c>
      <c r="F115" s="16">
        <v>28.34</v>
      </c>
      <c r="G115" s="17">
        <v>51893229</v>
      </c>
    </row>
    <row r="116" spans="1:7" ht="18" x14ac:dyDescent="0.2">
      <c r="A116" s="5">
        <v>42309</v>
      </c>
      <c r="B116" s="16">
        <v>43.75</v>
      </c>
      <c r="C116" s="16">
        <v>47.44</v>
      </c>
      <c r="D116" s="16">
        <v>43.55</v>
      </c>
      <c r="E116" s="16">
        <v>46.35</v>
      </c>
      <c r="F116" s="16">
        <v>31.25</v>
      </c>
      <c r="G116" s="17">
        <v>35032134</v>
      </c>
    </row>
    <row r="117" spans="1:7" ht="18" x14ac:dyDescent="0.2">
      <c r="A117" s="5">
        <v>42278</v>
      </c>
      <c r="B117" s="16">
        <v>41.05</v>
      </c>
      <c r="C117" s="16">
        <v>44.97</v>
      </c>
      <c r="D117" s="16">
        <v>39.520000000000003</v>
      </c>
      <c r="E117" s="16">
        <v>43.4</v>
      </c>
      <c r="F117" s="16">
        <v>29.26</v>
      </c>
      <c r="G117" s="17">
        <v>56858966</v>
      </c>
    </row>
    <row r="118" spans="1:7" ht="18" x14ac:dyDescent="0.2">
      <c r="A118" s="5">
        <v>42248</v>
      </c>
      <c r="B118" s="16">
        <v>42.11</v>
      </c>
      <c r="C118" s="16">
        <v>43.95</v>
      </c>
      <c r="D118" s="16">
        <v>40.01</v>
      </c>
      <c r="E118" s="16">
        <v>41.1</v>
      </c>
      <c r="F118" s="16">
        <v>27.71</v>
      </c>
      <c r="G118" s="17">
        <v>55558864</v>
      </c>
    </row>
    <row r="119" spans="1:7" ht="18" x14ac:dyDescent="0.2">
      <c r="A119" s="5">
        <v>42217</v>
      </c>
      <c r="B119" s="16">
        <v>47.52</v>
      </c>
      <c r="C119" s="16">
        <v>48.6</v>
      </c>
      <c r="D119" s="16">
        <v>40.130000000000003</v>
      </c>
      <c r="E119" s="16">
        <v>44</v>
      </c>
      <c r="F119" s="16">
        <v>29.52</v>
      </c>
      <c r="G119" s="17">
        <v>60324242</v>
      </c>
    </row>
    <row r="120" spans="1:7" ht="18" x14ac:dyDescent="0.2">
      <c r="A120" s="5">
        <v>42186</v>
      </c>
      <c r="B120" s="16">
        <v>52.45</v>
      </c>
      <c r="C120" s="16">
        <v>52.93</v>
      </c>
      <c r="D120" s="16">
        <v>46.37</v>
      </c>
      <c r="E120" s="16">
        <v>47.43</v>
      </c>
      <c r="F120" s="16">
        <v>31.82</v>
      </c>
      <c r="G120" s="17">
        <v>60121424</v>
      </c>
    </row>
    <row r="121" spans="1:7" ht="18" x14ac:dyDescent="0.2">
      <c r="A121" s="5">
        <v>42156</v>
      </c>
      <c r="B121" s="16">
        <v>49.06</v>
      </c>
      <c r="C121" s="16">
        <v>53.45</v>
      </c>
      <c r="D121" s="16">
        <v>48.19</v>
      </c>
      <c r="E121" s="16">
        <v>51.32</v>
      </c>
      <c r="F121" s="16">
        <v>34.43</v>
      </c>
      <c r="G121" s="17">
        <v>37616468</v>
      </c>
    </row>
    <row r="122" spans="1:7" ht="18" x14ac:dyDescent="0.2">
      <c r="A122" s="5">
        <v>42125</v>
      </c>
      <c r="B122" s="16">
        <v>47.64</v>
      </c>
      <c r="C122" s="16">
        <v>50.15</v>
      </c>
      <c r="D122" s="16">
        <v>47.11</v>
      </c>
      <c r="E122" s="16">
        <v>48.95</v>
      </c>
      <c r="F122" s="16">
        <v>32.71</v>
      </c>
      <c r="G122" s="17">
        <v>28115350</v>
      </c>
    </row>
    <row r="123" spans="1:7" ht="18" x14ac:dyDescent="0.2">
      <c r="A123" s="5">
        <v>42095</v>
      </c>
      <c r="B123" s="16">
        <v>45.08</v>
      </c>
      <c r="C123" s="16">
        <v>47.73</v>
      </c>
      <c r="D123" s="16">
        <v>44.38</v>
      </c>
      <c r="E123" s="16">
        <v>47.41</v>
      </c>
      <c r="F123" s="16">
        <v>31.68</v>
      </c>
      <c r="G123" s="17">
        <v>28811125</v>
      </c>
    </row>
    <row r="124" spans="1:7" ht="18" x14ac:dyDescent="0.2">
      <c r="A124" s="5">
        <v>42064</v>
      </c>
      <c r="B124" s="16">
        <v>45.9</v>
      </c>
      <c r="C124" s="16">
        <v>47.94</v>
      </c>
      <c r="D124" s="16">
        <v>44.36</v>
      </c>
      <c r="E124" s="16">
        <v>45.13</v>
      </c>
      <c r="F124" s="16">
        <v>30.16</v>
      </c>
      <c r="G124" s="17">
        <v>32239726</v>
      </c>
    </row>
    <row r="125" spans="1:7" ht="18" x14ac:dyDescent="0.2">
      <c r="A125" s="5">
        <v>42036</v>
      </c>
      <c r="B125" s="16">
        <v>41.92</v>
      </c>
      <c r="C125" s="16">
        <v>47</v>
      </c>
      <c r="D125" s="16">
        <v>41.65</v>
      </c>
      <c r="E125" s="16">
        <v>45.78</v>
      </c>
      <c r="F125" s="16">
        <v>30.46</v>
      </c>
      <c r="G125" s="17">
        <v>33451495</v>
      </c>
    </row>
    <row r="126" spans="1:7" ht="18" x14ac:dyDescent="0.2">
      <c r="A126" s="5">
        <v>42005</v>
      </c>
      <c r="B126" s="16">
        <v>47.07</v>
      </c>
      <c r="C126" s="16">
        <v>47.19</v>
      </c>
      <c r="D126" s="16">
        <v>40.090000000000003</v>
      </c>
      <c r="E126" s="16">
        <v>41.5</v>
      </c>
      <c r="F126" s="16">
        <v>27.61</v>
      </c>
      <c r="G126" s="17">
        <v>55732306</v>
      </c>
    </row>
    <row r="127" spans="1:7" ht="18" x14ac:dyDescent="0.2">
      <c r="A127" s="5">
        <v>41974</v>
      </c>
      <c r="B127" s="16">
        <v>46.22</v>
      </c>
      <c r="C127" s="16">
        <v>48.89</v>
      </c>
      <c r="D127" s="16">
        <v>43.92</v>
      </c>
      <c r="E127" s="16">
        <v>46.84</v>
      </c>
      <c r="F127" s="16">
        <v>31.16</v>
      </c>
      <c r="G127" s="17">
        <v>51813529</v>
      </c>
    </row>
    <row r="131" spans="1:7" x14ac:dyDescent="0.2">
      <c r="A131" s="4" t="s">
        <v>7</v>
      </c>
      <c r="B131" s="4" t="s">
        <v>8</v>
      </c>
      <c r="C131" s="4" t="s">
        <v>9</v>
      </c>
      <c r="D131" s="4" t="s">
        <v>10</v>
      </c>
      <c r="E131" s="4" t="s">
        <v>11</v>
      </c>
      <c r="F131" s="4" t="s">
        <v>12</v>
      </c>
      <c r="G131" s="4" t="s">
        <v>13</v>
      </c>
    </row>
    <row r="132" spans="1:7" ht="18" x14ac:dyDescent="0.2">
      <c r="A132" s="5">
        <v>43800</v>
      </c>
      <c r="B132" s="6">
        <v>54.99</v>
      </c>
      <c r="C132" s="6">
        <v>56.92</v>
      </c>
      <c r="D132" s="6">
        <v>52.77</v>
      </c>
      <c r="E132" s="6">
        <v>56.32</v>
      </c>
      <c r="F132" s="6">
        <v>42.25</v>
      </c>
      <c r="G132" s="7">
        <v>148017600</v>
      </c>
    </row>
    <row r="133" spans="1:7" ht="18" x14ac:dyDescent="0.2">
      <c r="A133" s="5">
        <v>43770</v>
      </c>
      <c r="B133" s="6">
        <v>53.61</v>
      </c>
      <c r="C133" s="6">
        <v>55.66</v>
      </c>
      <c r="D133" s="6">
        <v>53.4</v>
      </c>
      <c r="E133" s="6">
        <v>54.72</v>
      </c>
      <c r="F133" s="6">
        <v>40.71</v>
      </c>
      <c r="G133" s="7">
        <v>83876900</v>
      </c>
    </row>
    <row r="134" spans="1:7" ht="18" x14ac:dyDescent="0.2">
      <c r="A134" s="5">
        <v>43739</v>
      </c>
      <c r="B134" s="6">
        <v>53.64</v>
      </c>
      <c r="C134" s="6">
        <v>54.41</v>
      </c>
      <c r="D134" s="6">
        <v>50.02</v>
      </c>
      <c r="E134" s="6">
        <v>53.05</v>
      </c>
      <c r="F134" s="6">
        <v>39.47</v>
      </c>
      <c r="G134" s="7">
        <v>110394500</v>
      </c>
    </row>
    <row r="135" spans="1:7" ht="18" x14ac:dyDescent="0.2">
      <c r="A135" s="5">
        <v>43709</v>
      </c>
      <c r="B135" s="6">
        <v>47.2</v>
      </c>
      <c r="C135" s="6">
        <v>53.85</v>
      </c>
      <c r="D135" s="6">
        <v>46.33</v>
      </c>
      <c r="E135" s="6">
        <v>53.37</v>
      </c>
      <c r="F135" s="6">
        <v>39.71</v>
      </c>
      <c r="G135" s="7">
        <v>92155200</v>
      </c>
    </row>
    <row r="136" spans="1:7" ht="18" x14ac:dyDescent="0.2">
      <c r="A136" s="5">
        <v>43678</v>
      </c>
      <c r="B136" s="6">
        <v>51.42</v>
      </c>
      <c r="C136" s="6">
        <v>51.67</v>
      </c>
      <c r="D136" s="6">
        <v>44.98</v>
      </c>
      <c r="E136" s="6">
        <v>47.65</v>
      </c>
      <c r="F136" s="6">
        <v>35.11</v>
      </c>
      <c r="G136" s="7">
        <v>98417700</v>
      </c>
    </row>
    <row r="137" spans="1:7" ht="18" x14ac:dyDescent="0.2">
      <c r="A137" s="5">
        <v>43647</v>
      </c>
      <c r="B137" s="6">
        <v>49.53</v>
      </c>
      <c r="C137" s="6">
        <v>52.03</v>
      </c>
      <c r="D137" s="6">
        <v>48.67</v>
      </c>
      <c r="E137" s="6">
        <v>51.53</v>
      </c>
      <c r="F137" s="6">
        <v>37.97</v>
      </c>
      <c r="G137" s="7">
        <v>93047300</v>
      </c>
    </row>
    <row r="138" spans="1:7" ht="18" x14ac:dyDescent="0.2">
      <c r="A138" s="5">
        <v>43617</v>
      </c>
      <c r="B138" s="6">
        <v>46.67</v>
      </c>
      <c r="C138" s="6">
        <v>50.5</v>
      </c>
      <c r="D138" s="6">
        <v>46.55</v>
      </c>
      <c r="E138" s="6">
        <v>49.13</v>
      </c>
      <c r="F138" s="6">
        <v>36.200000000000003</v>
      </c>
      <c r="G138" s="7">
        <v>85244400</v>
      </c>
    </row>
    <row r="139" spans="1:7" ht="18" x14ac:dyDescent="0.2">
      <c r="A139" s="5">
        <v>43586</v>
      </c>
      <c r="B139" s="6">
        <v>51.07</v>
      </c>
      <c r="C139" s="6">
        <v>51.42</v>
      </c>
      <c r="D139" s="6">
        <v>46.53</v>
      </c>
      <c r="E139" s="6">
        <v>46.75</v>
      </c>
      <c r="F139" s="6">
        <v>34.159999999999997</v>
      </c>
      <c r="G139" s="7">
        <v>95318200</v>
      </c>
    </row>
    <row r="140" spans="1:7" ht="18" x14ac:dyDescent="0.2">
      <c r="A140" s="5">
        <v>43556</v>
      </c>
      <c r="B140" s="6">
        <v>46.88</v>
      </c>
      <c r="C140" s="6">
        <v>51.76</v>
      </c>
      <c r="D140" s="6">
        <v>46.85</v>
      </c>
      <c r="E140" s="6">
        <v>51.2</v>
      </c>
      <c r="F140" s="6">
        <v>37.409999999999997</v>
      </c>
      <c r="G140" s="7">
        <v>107675600</v>
      </c>
    </row>
    <row r="141" spans="1:7" ht="18" x14ac:dyDescent="0.2">
      <c r="A141" s="5">
        <v>43525</v>
      </c>
      <c r="B141" s="6">
        <v>51</v>
      </c>
      <c r="C141" s="6">
        <v>52.45</v>
      </c>
      <c r="D141" s="6">
        <v>44.51</v>
      </c>
      <c r="E141" s="6">
        <v>46.53</v>
      </c>
      <c r="F141" s="6">
        <v>34</v>
      </c>
      <c r="G141" s="7">
        <v>138847300</v>
      </c>
    </row>
    <row r="142" spans="1:7" ht="18" x14ac:dyDescent="0.2">
      <c r="A142" s="5">
        <v>43497</v>
      </c>
      <c r="B142" s="6">
        <v>48.89</v>
      </c>
      <c r="C142" s="6">
        <v>52.08</v>
      </c>
      <c r="D142" s="6">
        <v>48.43</v>
      </c>
      <c r="E142" s="6">
        <v>50.97</v>
      </c>
      <c r="F142" s="6">
        <v>36.94</v>
      </c>
      <c r="G142" s="7">
        <v>132499200</v>
      </c>
    </row>
    <row r="143" spans="1:7" ht="18" x14ac:dyDescent="0.2">
      <c r="A143" s="5">
        <v>43466</v>
      </c>
      <c r="B143" s="6">
        <v>42.86</v>
      </c>
      <c r="C143" s="6">
        <v>49.68</v>
      </c>
      <c r="D143" s="6">
        <v>42.79</v>
      </c>
      <c r="E143" s="6">
        <v>48.8</v>
      </c>
      <c r="F143" s="6">
        <v>35.369999999999997</v>
      </c>
      <c r="G143" s="7">
        <v>111508900</v>
      </c>
    </row>
    <row r="144" spans="1:7" ht="18" x14ac:dyDescent="0.2">
      <c r="A144" s="5">
        <v>43435</v>
      </c>
      <c r="B144" s="6">
        <v>51.62</v>
      </c>
      <c r="C144" s="6">
        <v>51.77</v>
      </c>
      <c r="D144" s="6">
        <v>40.68</v>
      </c>
      <c r="E144" s="6">
        <v>43.32</v>
      </c>
      <c r="F144" s="6">
        <v>31.4</v>
      </c>
      <c r="G144" s="7">
        <v>105086900</v>
      </c>
    </row>
    <row r="145" spans="1:7" ht="18" x14ac:dyDescent="0.2">
      <c r="A145" s="5">
        <v>43405</v>
      </c>
      <c r="B145" s="6">
        <v>49.4</v>
      </c>
      <c r="C145" s="6">
        <v>52.11</v>
      </c>
      <c r="D145" s="6">
        <v>48.76</v>
      </c>
      <c r="E145" s="6">
        <v>51.1</v>
      </c>
      <c r="F145" s="6">
        <v>36.74</v>
      </c>
      <c r="G145" s="7">
        <v>101312300</v>
      </c>
    </row>
    <row r="146" spans="1:7" ht="18" x14ac:dyDescent="0.2">
      <c r="A146" s="5">
        <v>43374</v>
      </c>
      <c r="B146" s="6">
        <v>48.92</v>
      </c>
      <c r="C146" s="6">
        <v>50.16</v>
      </c>
      <c r="D146" s="6">
        <v>45.93</v>
      </c>
      <c r="E146" s="6">
        <v>49.16</v>
      </c>
      <c r="F146" s="6">
        <v>35.340000000000003</v>
      </c>
      <c r="G146" s="7">
        <v>119464500</v>
      </c>
    </row>
    <row r="147" spans="1:7" ht="18" x14ac:dyDescent="0.2">
      <c r="A147" s="5">
        <v>43344</v>
      </c>
      <c r="B147" s="6">
        <v>51.65</v>
      </c>
      <c r="C147" s="6">
        <v>52.58</v>
      </c>
      <c r="D147" s="6">
        <v>48.41</v>
      </c>
      <c r="E147" s="6">
        <v>48.54</v>
      </c>
      <c r="F147" s="6">
        <v>34.9</v>
      </c>
      <c r="G147" s="7">
        <v>52426300</v>
      </c>
    </row>
    <row r="148" spans="1:7" ht="18" x14ac:dyDescent="0.2">
      <c r="A148" s="5">
        <v>43313</v>
      </c>
      <c r="B148" s="6">
        <v>50.99</v>
      </c>
      <c r="C148" s="6">
        <v>53.08</v>
      </c>
      <c r="D148" s="6">
        <v>50.37</v>
      </c>
      <c r="E148" s="6">
        <v>51.66</v>
      </c>
      <c r="F148" s="6">
        <v>36.85</v>
      </c>
      <c r="G148" s="7">
        <v>56110300</v>
      </c>
    </row>
    <row r="149" spans="1:7" ht="18" x14ac:dyDescent="0.2">
      <c r="A149" s="5">
        <v>43282</v>
      </c>
      <c r="B149" s="6">
        <v>50.23</v>
      </c>
      <c r="C149" s="6">
        <v>53.05</v>
      </c>
      <c r="D149" s="6">
        <v>49.71</v>
      </c>
      <c r="E149" s="6">
        <v>50.81</v>
      </c>
      <c r="F149" s="6">
        <v>36.25</v>
      </c>
      <c r="G149" s="7">
        <v>84780500</v>
      </c>
    </row>
    <row r="150" spans="1:7" ht="18" x14ac:dyDescent="0.2">
      <c r="A150" s="5">
        <v>43252</v>
      </c>
      <c r="B150" s="6">
        <v>53.32</v>
      </c>
      <c r="C150" s="6">
        <v>54.96</v>
      </c>
      <c r="D150" s="6">
        <v>50.31</v>
      </c>
      <c r="E150" s="6">
        <v>50.44</v>
      </c>
      <c r="F150" s="6">
        <v>35.979999999999997</v>
      </c>
      <c r="G150" s="7">
        <v>83861700</v>
      </c>
    </row>
    <row r="151" spans="1:7" ht="18" x14ac:dyDescent="0.2">
      <c r="A151" s="5">
        <v>43221</v>
      </c>
      <c r="B151" s="6">
        <v>52.68</v>
      </c>
      <c r="C151" s="6">
        <v>56.03</v>
      </c>
      <c r="D151" s="6">
        <v>51.78</v>
      </c>
      <c r="E151" s="6">
        <v>52.5</v>
      </c>
      <c r="F151" s="6">
        <v>37.200000000000003</v>
      </c>
      <c r="G151" s="7">
        <v>78417400</v>
      </c>
    </row>
    <row r="152" spans="1:7" ht="18" x14ac:dyDescent="0.2">
      <c r="A152" s="5">
        <v>43191</v>
      </c>
      <c r="B152" s="6">
        <v>51.87</v>
      </c>
      <c r="C152" s="6">
        <v>54.7</v>
      </c>
      <c r="D152" s="6">
        <v>50.13</v>
      </c>
      <c r="E152" s="6">
        <v>52.8</v>
      </c>
      <c r="F152" s="6">
        <v>37.409999999999997</v>
      </c>
      <c r="G152" s="7">
        <v>92018700</v>
      </c>
    </row>
    <row r="153" spans="1:7" ht="18" x14ac:dyDescent="0.2">
      <c r="A153" s="5">
        <v>43160</v>
      </c>
      <c r="B153" s="6">
        <v>54.32</v>
      </c>
      <c r="C153" s="6">
        <v>56.31</v>
      </c>
      <c r="D153" s="6">
        <v>50.57</v>
      </c>
      <c r="E153" s="6">
        <v>52.04</v>
      </c>
      <c r="F153" s="6">
        <v>36.840000000000003</v>
      </c>
      <c r="G153" s="7">
        <v>82417100</v>
      </c>
    </row>
    <row r="154" spans="1:7" ht="18" x14ac:dyDescent="0.2">
      <c r="A154" s="5">
        <v>43132</v>
      </c>
      <c r="B154" s="6">
        <v>55.03</v>
      </c>
      <c r="C154" s="6">
        <v>56.19</v>
      </c>
      <c r="D154" s="6">
        <v>50.76</v>
      </c>
      <c r="E154" s="6">
        <v>54.35</v>
      </c>
      <c r="F154" s="6">
        <v>38.24</v>
      </c>
      <c r="G154" s="7">
        <v>79418800</v>
      </c>
    </row>
    <row r="155" spans="1:7" ht="18" x14ac:dyDescent="0.2">
      <c r="A155" s="5">
        <v>43101</v>
      </c>
      <c r="B155" s="6">
        <v>50</v>
      </c>
      <c r="C155" s="6">
        <v>55.85</v>
      </c>
      <c r="D155" s="6">
        <v>49.65</v>
      </c>
      <c r="E155" s="6">
        <v>55.19</v>
      </c>
      <c r="F155" s="6">
        <v>38.83</v>
      </c>
      <c r="G155" s="7">
        <v>89707700</v>
      </c>
    </row>
    <row r="156" spans="1:7" ht="18" x14ac:dyDescent="0.2">
      <c r="A156" s="5">
        <v>43070</v>
      </c>
      <c r="B156" s="6">
        <v>49.55</v>
      </c>
      <c r="C156" s="6">
        <v>51.11</v>
      </c>
      <c r="D156" s="6">
        <v>48.21</v>
      </c>
      <c r="E156" s="6">
        <v>49.72</v>
      </c>
      <c r="F156" s="6">
        <v>34.979999999999997</v>
      </c>
      <c r="G156" s="7">
        <v>85234700</v>
      </c>
    </row>
    <row r="157" spans="1:7" ht="18" x14ac:dyDescent="0.2">
      <c r="A157" s="5">
        <v>43040</v>
      </c>
      <c r="B157" s="6">
        <v>49.35</v>
      </c>
      <c r="C157" s="6">
        <v>50.12</v>
      </c>
      <c r="D157" s="6">
        <v>45.73</v>
      </c>
      <c r="E157" s="6">
        <v>49.42</v>
      </c>
      <c r="F157" s="6">
        <v>34.53</v>
      </c>
      <c r="G157" s="7">
        <v>119747500</v>
      </c>
    </row>
    <row r="158" spans="1:7" ht="18" x14ac:dyDescent="0.2">
      <c r="A158" s="5">
        <v>43009</v>
      </c>
      <c r="B158" s="6">
        <v>46.96</v>
      </c>
      <c r="C158" s="6">
        <v>49.52</v>
      </c>
      <c r="D158" s="6">
        <v>44.62</v>
      </c>
      <c r="E158" s="6">
        <v>49.24</v>
      </c>
      <c r="F158" s="6">
        <v>34.4</v>
      </c>
      <c r="G158" s="7">
        <v>80017100</v>
      </c>
    </row>
    <row r="159" spans="1:7" ht="18" x14ac:dyDescent="0.2">
      <c r="A159" s="5">
        <v>42979</v>
      </c>
      <c r="B159" s="6">
        <v>46.04</v>
      </c>
      <c r="C159" s="6">
        <v>47.19</v>
      </c>
      <c r="D159" s="6">
        <v>43.03</v>
      </c>
      <c r="E159" s="6">
        <v>46.94</v>
      </c>
      <c r="F159" s="6">
        <v>32.799999999999997</v>
      </c>
      <c r="G159" s="7">
        <v>89653300</v>
      </c>
    </row>
    <row r="160" spans="1:7" ht="18" x14ac:dyDescent="0.2">
      <c r="A160" s="5">
        <v>42948</v>
      </c>
      <c r="B160" s="6">
        <v>47.58</v>
      </c>
      <c r="C160" s="6">
        <v>48.9</v>
      </c>
      <c r="D160" s="6">
        <v>45.5</v>
      </c>
      <c r="E160" s="6">
        <v>46.09</v>
      </c>
      <c r="F160" s="6">
        <v>31.98</v>
      </c>
      <c r="G160" s="7">
        <v>91951700</v>
      </c>
    </row>
    <row r="161" spans="1:7" ht="18" x14ac:dyDescent="0.2">
      <c r="A161" s="5">
        <v>42917</v>
      </c>
      <c r="B161" s="6">
        <v>45.72</v>
      </c>
      <c r="C161" s="6">
        <v>47.65</v>
      </c>
      <c r="D161" s="6">
        <v>44.36</v>
      </c>
      <c r="E161" s="6">
        <v>47.32</v>
      </c>
      <c r="F161" s="6">
        <v>32.840000000000003</v>
      </c>
      <c r="G161" s="7">
        <v>81443300</v>
      </c>
    </row>
    <row r="162" spans="1:7" ht="18" x14ac:dyDescent="0.2">
      <c r="A162" s="5">
        <v>42887</v>
      </c>
      <c r="B162" s="6">
        <v>41.88</v>
      </c>
      <c r="C162" s="6">
        <v>46.5</v>
      </c>
      <c r="D162" s="6">
        <v>41.46</v>
      </c>
      <c r="E162" s="6">
        <v>45.41</v>
      </c>
      <c r="F162" s="6">
        <v>31.51</v>
      </c>
      <c r="G162" s="7">
        <v>89550100</v>
      </c>
    </row>
    <row r="163" spans="1:7" ht="18" x14ac:dyDescent="0.2">
      <c r="A163" s="5">
        <v>42856</v>
      </c>
      <c r="B163" s="6">
        <v>43.45</v>
      </c>
      <c r="C163" s="6">
        <v>44.7</v>
      </c>
      <c r="D163" s="6">
        <v>41.17</v>
      </c>
      <c r="E163" s="6">
        <v>41.65</v>
      </c>
      <c r="F163" s="6">
        <v>28.7</v>
      </c>
      <c r="G163" s="7">
        <v>72742900</v>
      </c>
    </row>
    <row r="164" spans="1:7" ht="18" x14ac:dyDescent="0.2">
      <c r="A164" s="5">
        <v>42826</v>
      </c>
      <c r="B164" s="6">
        <v>44.8</v>
      </c>
      <c r="C164" s="6">
        <v>45.17</v>
      </c>
      <c r="D164" s="6">
        <v>42.29</v>
      </c>
      <c r="E164" s="6">
        <v>43.18</v>
      </c>
      <c r="F164" s="6">
        <v>29.76</v>
      </c>
      <c r="G164" s="7">
        <v>83135100</v>
      </c>
    </row>
    <row r="165" spans="1:7" ht="18" x14ac:dyDescent="0.2">
      <c r="A165" s="5">
        <v>42795</v>
      </c>
      <c r="B165" s="6">
        <v>49.15</v>
      </c>
      <c r="C165" s="6">
        <v>49.88</v>
      </c>
      <c r="D165" s="6">
        <v>42.73</v>
      </c>
      <c r="E165" s="6">
        <v>44.7</v>
      </c>
      <c r="F165" s="6">
        <v>30.8</v>
      </c>
      <c r="G165" s="7">
        <v>111671800</v>
      </c>
    </row>
    <row r="166" spans="1:7" ht="18" x14ac:dyDescent="0.2">
      <c r="A166" s="5">
        <v>42767</v>
      </c>
      <c r="B166" s="6">
        <v>46.61</v>
      </c>
      <c r="C166" s="6">
        <v>48.53</v>
      </c>
      <c r="D166" s="6">
        <v>45.41</v>
      </c>
      <c r="E166" s="6">
        <v>48.22</v>
      </c>
      <c r="F166" s="6">
        <v>33.020000000000003</v>
      </c>
      <c r="G166" s="7">
        <v>79956100</v>
      </c>
    </row>
    <row r="167" spans="1:7" ht="18" x14ac:dyDescent="0.2">
      <c r="A167" s="5">
        <v>42736</v>
      </c>
      <c r="B167" s="6">
        <v>47.45</v>
      </c>
      <c r="C167" s="6">
        <v>47.64</v>
      </c>
      <c r="D167" s="6">
        <v>44.81</v>
      </c>
      <c r="E167" s="6">
        <v>46.19</v>
      </c>
      <c r="F167" s="6">
        <v>31.63</v>
      </c>
      <c r="G167" s="7">
        <v>103583700</v>
      </c>
    </row>
    <row r="168" spans="1:7" ht="18" x14ac:dyDescent="0.2">
      <c r="A168" s="5">
        <v>42705</v>
      </c>
      <c r="B168" s="6">
        <v>45.34</v>
      </c>
      <c r="C168" s="6">
        <v>47.85</v>
      </c>
      <c r="D168" s="6">
        <v>45.04</v>
      </c>
      <c r="E168" s="6">
        <v>47.02</v>
      </c>
      <c r="F168" s="6">
        <v>32.19</v>
      </c>
      <c r="G168" s="7">
        <v>88910600</v>
      </c>
    </row>
    <row r="169" spans="1:7" ht="18" x14ac:dyDescent="0.2">
      <c r="A169" s="5">
        <v>42675</v>
      </c>
      <c r="B169" s="6">
        <v>39.299999999999997</v>
      </c>
      <c r="C169" s="6">
        <v>45.31</v>
      </c>
      <c r="D169" s="6">
        <v>38.229999999999997</v>
      </c>
      <c r="E169" s="6">
        <v>45.25</v>
      </c>
      <c r="F169" s="6">
        <v>30.75</v>
      </c>
      <c r="G169" s="7">
        <v>145251500</v>
      </c>
    </row>
    <row r="170" spans="1:7" ht="18" x14ac:dyDescent="0.2">
      <c r="A170" s="5">
        <v>42644</v>
      </c>
      <c r="B170" s="6">
        <v>37.58</v>
      </c>
      <c r="C170" s="6">
        <v>39.630000000000003</v>
      </c>
      <c r="D170" s="6">
        <v>37.4</v>
      </c>
      <c r="E170" s="6">
        <v>39.200000000000003</v>
      </c>
      <c r="F170" s="6">
        <v>26.64</v>
      </c>
      <c r="G170" s="7">
        <v>112219700</v>
      </c>
    </row>
    <row r="171" spans="1:7" ht="18" x14ac:dyDescent="0.2">
      <c r="A171" s="5">
        <v>42614</v>
      </c>
      <c r="B171" s="6">
        <v>38.6</v>
      </c>
      <c r="C171" s="6">
        <v>38.81</v>
      </c>
      <c r="D171" s="6">
        <v>36.799999999999997</v>
      </c>
      <c r="E171" s="6">
        <v>37.72</v>
      </c>
      <c r="F171" s="6">
        <v>25.63</v>
      </c>
      <c r="G171" s="7">
        <v>102765800</v>
      </c>
    </row>
    <row r="172" spans="1:7" ht="18" x14ac:dyDescent="0.2">
      <c r="A172" s="5">
        <v>42583</v>
      </c>
      <c r="B172" s="6">
        <v>36.96</v>
      </c>
      <c r="C172" s="6">
        <v>38.51</v>
      </c>
      <c r="D172" s="6">
        <v>36.21</v>
      </c>
      <c r="E172" s="6">
        <v>38.5</v>
      </c>
      <c r="F172" s="6">
        <v>25.95</v>
      </c>
      <c r="G172" s="7">
        <v>70863300</v>
      </c>
    </row>
    <row r="173" spans="1:7" ht="18" x14ac:dyDescent="0.2">
      <c r="A173" s="5">
        <v>42552</v>
      </c>
      <c r="B173" s="6">
        <v>35.61</v>
      </c>
      <c r="C173" s="6">
        <v>37.32</v>
      </c>
      <c r="D173" s="6">
        <v>33.72</v>
      </c>
      <c r="E173" s="6">
        <v>36.869999999999997</v>
      </c>
      <c r="F173" s="6">
        <v>24.85</v>
      </c>
      <c r="G173" s="7">
        <v>77327400</v>
      </c>
    </row>
    <row r="174" spans="1:7" ht="18" x14ac:dyDescent="0.2">
      <c r="A174" s="5">
        <v>42522</v>
      </c>
      <c r="B174" s="6">
        <v>36</v>
      </c>
      <c r="C174" s="6">
        <v>37.020000000000003</v>
      </c>
      <c r="D174" s="6">
        <v>32.85</v>
      </c>
      <c r="E174" s="6">
        <v>35.61</v>
      </c>
      <c r="F174" s="6">
        <v>24</v>
      </c>
      <c r="G174" s="7">
        <v>107344300</v>
      </c>
    </row>
    <row r="175" spans="1:7" ht="18" x14ac:dyDescent="0.2">
      <c r="A175" s="5">
        <v>42491</v>
      </c>
      <c r="B175" s="6">
        <v>35.4</v>
      </c>
      <c r="C175" s="6">
        <v>36.630000000000003</v>
      </c>
      <c r="D175" s="6">
        <v>33.01</v>
      </c>
      <c r="E175" s="6">
        <v>36.369999999999997</v>
      </c>
      <c r="F175" s="6">
        <v>24.32</v>
      </c>
      <c r="G175" s="7">
        <v>92269100</v>
      </c>
    </row>
    <row r="176" spans="1:7" ht="18" x14ac:dyDescent="0.2">
      <c r="A176" s="5">
        <v>42461</v>
      </c>
      <c r="B176" s="6">
        <v>33.08</v>
      </c>
      <c r="C176" s="6">
        <v>36.5</v>
      </c>
      <c r="D176" s="6">
        <v>32.22</v>
      </c>
      <c r="E176" s="6">
        <v>35.380000000000003</v>
      </c>
      <c r="F176" s="6">
        <v>23.66</v>
      </c>
      <c r="G176" s="7">
        <v>122637100</v>
      </c>
    </row>
    <row r="177" spans="1:7" ht="18" x14ac:dyDescent="0.2">
      <c r="A177" s="5">
        <v>42430</v>
      </c>
      <c r="B177" s="6">
        <v>32.49</v>
      </c>
      <c r="C177" s="6">
        <v>34.94</v>
      </c>
      <c r="D177" s="6">
        <v>32.32</v>
      </c>
      <c r="E177" s="6">
        <v>33.270000000000003</v>
      </c>
      <c r="F177" s="6">
        <v>22.24</v>
      </c>
      <c r="G177" s="7">
        <v>103620600</v>
      </c>
    </row>
    <row r="178" spans="1:7" ht="18" x14ac:dyDescent="0.2">
      <c r="A178" s="5">
        <v>42401</v>
      </c>
      <c r="B178" s="6">
        <v>32.53</v>
      </c>
      <c r="C178" s="6">
        <v>33.53</v>
      </c>
      <c r="D178" s="6">
        <v>29.95</v>
      </c>
      <c r="E178" s="6">
        <v>32.159999999999997</v>
      </c>
      <c r="F178" s="6">
        <v>21.32</v>
      </c>
      <c r="G178" s="7">
        <v>112148000</v>
      </c>
    </row>
    <row r="179" spans="1:7" ht="18" x14ac:dyDescent="0.2">
      <c r="A179" s="5">
        <v>42370</v>
      </c>
      <c r="B179" s="6">
        <v>36.92</v>
      </c>
      <c r="C179" s="6">
        <v>37.03</v>
      </c>
      <c r="D179" s="6">
        <v>30.99</v>
      </c>
      <c r="E179" s="6">
        <v>32.659999999999997</v>
      </c>
      <c r="F179" s="6">
        <v>21.65</v>
      </c>
      <c r="G179" s="7">
        <v>119649300</v>
      </c>
    </row>
    <row r="180" spans="1:7" ht="18" x14ac:dyDescent="0.2">
      <c r="A180" s="5">
        <v>42339</v>
      </c>
      <c r="B180" s="6">
        <v>38.93</v>
      </c>
      <c r="C180" s="6">
        <v>39.28</v>
      </c>
      <c r="D180" s="6">
        <v>36.49</v>
      </c>
      <c r="E180" s="6">
        <v>37.81</v>
      </c>
      <c r="F180" s="6">
        <v>25.06</v>
      </c>
      <c r="G180" s="7">
        <v>93956400</v>
      </c>
    </row>
    <row r="181" spans="1:7" ht="18" x14ac:dyDescent="0.2">
      <c r="A181" s="5">
        <v>42309</v>
      </c>
      <c r="B181" s="6">
        <v>37.340000000000003</v>
      </c>
      <c r="C181" s="6">
        <v>39.47</v>
      </c>
      <c r="D181" s="6">
        <v>37.200000000000003</v>
      </c>
      <c r="E181" s="6">
        <v>38.619999999999997</v>
      </c>
      <c r="F181" s="6">
        <v>25.42</v>
      </c>
      <c r="G181" s="7">
        <v>80935400</v>
      </c>
    </row>
    <row r="182" spans="1:7" ht="18" x14ac:dyDescent="0.2">
      <c r="A182" s="5">
        <v>42278</v>
      </c>
      <c r="B182" s="6">
        <v>35.69</v>
      </c>
      <c r="C182" s="6">
        <v>38.22</v>
      </c>
      <c r="D182" s="6">
        <v>34.24</v>
      </c>
      <c r="E182" s="6">
        <v>37.15</v>
      </c>
      <c r="F182" s="6">
        <v>24.45</v>
      </c>
      <c r="G182" s="7">
        <v>93906800</v>
      </c>
    </row>
    <row r="183" spans="1:7" ht="18" x14ac:dyDescent="0.2">
      <c r="A183" s="5">
        <v>42248</v>
      </c>
      <c r="B183" s="6">
        <v>36.020000000000003</v>
      </c>
      <c r="C183" s="6">
        <v>37.340000000000003</v>
      </c>
      <c r="D183" s="6">
        <v>34.729999999999997</v>
      </c>
      <c r="E183" s="6">
        <v>35.6</v>
      </c>
      <c r="F183" s="6">
        <v>23.43</v>
      </c>
      <c r="G183" s="7">
        <v>92139300</v>
      </c>
    </row>
    <row r="184" spans="1:7" ht="18" x14ac:dyDescent="0.2">
      <c r="A184" s="5">
        <v>42217</v>
      </c>
      <c r="B184" s="6">
        <v>40.31</v>
      </c>
      <c r="C184" s="6">
        <v>41.39</v>
      </c>
      <c r="D184" s="6">
        <v>34.76</v>
      </c>
      <c r="E184" s="6">
        <v>36.92</v>
      </c>
      <c r="F184" s="6">
        <v>24.14</v>
      </c>
      <c r="G184" s="7">
        <v>118859400</v>
      </c>
    </row>
    <row r="185" spans="1:7" ht="18" x14ac:dyDescent="0.2">
      <c r="A185" s="5">
        <v>42186</v>
      </c>
      <c r="B185" s="6">
        <v>40.75</v>
      </c>
      <c r="C185" s="6">
        <v>41.9</v>
      </c>
      <c r="D185" s="6">
        <v>39.65</v>
      </c>
      <c r="E185" s="6">
        <v>40.270000000000003</v>
      </c>
      <c r="F185" s="6">
        <v>26.33</v>
      </c>
      <c r="G185" s="7">
        <v>101847800</v>
      </c>
    </row>
    <row r="186" spans="1:7" ht="18" x14ac:dyDescent="0.2">
      <c r="A186" s="5">
        <v>42156</v>
      </c>
      <c r="B186" s="6">
        <v>39.56</v>
      </c>
      <c r="C186" s="6">
        <v>41.7</v>
      </c>
      <c r="D186" s="6">
        <v>39</v>
      </c>
      <c r="E186" s="6">
        <v>40.31</v>
      </c>
      <c r="F186" s="6">
        <v>26.36</v>
      </c>
      <c r="G186" s="7">
        <v>87022300</v>
      </c>
    </row>
    <row r="187" spans="1:7" ht="18" x14ac:dyDescent="0.2">
      <c r="A187" s="5">
        <v>42125</v>
      </c>
      <c r="B187" s="6">
        <v>38.43</v>
      </c>
      <c r="C187" s="6">
        <v>39.979999999999997</v>
      </c>
      <c r="D187" s="6">
        <v>38.17</v>
      </c>
      <c r="E187" s="6">
        <v>39.47</v>
      </c>
      <c r="F187" s="6">
        <v>25.63</v>
      </c>
      <c r="G187" s="7">
        <v>59816700</v>
      </c>
    </row>
    <row r="188" spans="1:7" ht="18" x14ac:dyDescent="0.2">
      <c r="A188" s="5">
        <v>42095</v>
      </c>
      <c r="B188" s="6">
        <v>38.770000000000003</v>
      </c>
      <c r="C188" s="6">
        <v>39.49</v>
      </c>
      <c r="D188" s="6">
        <v>37.33</v>
      </c>
      <c r="E188" s="6">
        <v>38.29</v>
      </c>
      <c r="F188" s="6">
        <v>24.86</v>
      </c>
      <c r="G188" s="7">
        <v>72492800</v>
      </c>
    </row>
    <row r="189" spans="1:7" ht="18" x14ac:dyDescent="0.2">
      <c r="A189" s="5">
        <v>42064</v>
      </c>
      <c r="B189" s="6">
        <v>38.049999999999997</v>
      </c>
      <c r="C189" s="6">
        <v>40.17</v>
      </c>
      <c r="D189" s="6">
        <v>37.54</v>
      </c>
      <c r="E189" s="6">
        <v>38.99</v>
      </c>
      <c r="F189" s="6">
        <v>25.32</v>
      </c>
      <c r="G189" s="7">
        <v>87660800</v>
      </c>
    </row>
    <row r="190" spans="1:7" ht="18" x14ac:dyDescent="0.2">
      <c r="A190" s="5">
        <v>42036</v>
      </c>
      <c r="B190" s="6">
        <v>35.49</v>
      </c>
      <c r="C190" s="6">
        <v>38.56</v>
      </c>
      <c r="D190" s="6">
        <v>35.24</v>
      </c>
      <c r="E190" s="6">
        <v>38.049999999999997</v>
      </c>
      <c r="F190" s="6">
        <v>24.55</v>
      </c>
      <c r="G190" s="7">
        <v>72616000</v>
      </c>
    </row>
    <row r="191" spans="1:7" ht="18" x14ac:dyDescent="0.2">
      <c r="A191" s="5">
        <v>42005</v>
      </c>
      <c r="B191" s="6">
        <v>39.020000000000003</v>
      </c>
      <c r="C191" s="6">
        <v>39.200000000000003</v>
      </c>
      <c r="D191" s="6">
        <v>34.950000000000003</v>
      </c>
      <c r="E191" s="6">
        <v>35.29</v>
      </c>
      <c r="F191" s="6">
        <v>22.77</v>
      </c>
      <c r="G191" s="7">
        <v>92285600</v>
      </c>
    </row>
    <row r="192" spans="1:7" ht="18" x14ac:dyDescent="0.2">
      <c r="A192" s="5">
        <v>41974</v>
      </c>
      <c r="B192" s="6">
        <v>37.43</v>
      </c>
      <c r="C192" s="6">
        <v>39.69</v>
      </c>
      <c r="D192" s="6">
        <v>36.700000000000003</v>
      </c>
      <c r="E192" s="6">
        <v>38.89</v>
      </c>
      <c r="F192" s="6">
        <v>25.09</v>
      </c>
      <c r="G192" s="7">
        <v>74941900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7ECE-F317-EF43-9DE3-D1878822CC5D}">
  <dimension ref="A1:P192"/>
  <sheetViews>
    <sheetView topLeftCell="A75" workbookViewId="0">
      <selection activeCell="P1" sqref="A1:P192"/>
    </sheetView>
  </sheetViews>
  <sheetFormatPr baseColWidth="10" defaultRowHeight="16" x14ac:dyDescent="0.2"/>
  <cols>
    <col min="1" max="1" width="12.5" customWidth="1"/>
    <col min="7" max="7" width="14.1640625" customWidth="1"/>
    <col min="10" max="10" width="11.83203125" customWidth="1"/>
  </cols>
  <sheetData>
    <row r="1" spans="1:13" ht="18" x14ac:dyDescent="0.2">
      <c r="A1" s="19" t="s">
        <v>7</v>
      </c>
      <c r="B1" s="19" t="s">
        <v>8</v>
      </c>
      <c r="C1" s="19" t="s">
        <v>9</v>
      </c>
      <c r="D1" s="19" t="s">
        <v>10</v>
      </c>
      <c r="E1" s="19" t="s">
        <v>11</v>
      </c>
      <c r="F1" s="19" t="s">
        <v>85</v>
      </c>
      <c r="G1" s="19" t="s">
        <v>13</v>
      </c>
      <c r="J1" s="19" t="s">
        <v>7</v>
      </c>
      <c r="K1" s="19" t="s">
        <v>17</v>
      </c>
      <c r="L1" s="19" t="s">
        <v>18</v>
      </c>
      <c r="M1" s="19" t="s">
        <v>19</v>
      </c>
    </row>
    <row r="2" spans="1:13" ht="18" x14ac:dyDescent="0.2">
      <c r="A2" s="5">
        <v>43800</v>
      </c>
      <c r="B2" s="6">
        <v>52.5</v>
      </c>
      <c r="C2" s="6">
        <v>57.61</v>
      </c>
      <c r="D2" s="6">
        <v>50.93</v>
      </c>
      <c r="E2" s="6">
        <v>57</v>
      </c>
      <c r="F2" s="6">
        <v>50</v>
      </c>
      <c r="G2" s="7">
        <v>11071100</v>
      </c>
      <c r="J2" s="5">
        <v>43800</v>
      </c>
      <c r="K2" s="19">
        <f t="shared" ref="K2:K33" si="0">(F2-F3)/F3</f>
        <v>9.8177026136613194E-2</v>
      </c>
      <c r="L2" s="19">
        <f t="shared" ref="L2:L33" si="1">(F67-F68)/F68</f>
        <v>5.0150451354062181E-2</v>
      </c>
      <c r="M2" s="19">
        <f t="shared" ref="M2:M33" si="2">(F132-F133)/F133</f>
        <v>2.9458598726114588E-2</v>
      </c>
    </row>
    <row r="3" spans="1:13" ht="18" x14ac:dyDescent="0.2">
      <c r="A3" s="5">
        <v>43770</v>
      </c>
      <c r="B3" s="6">
        <v>49.96</v>
      </c>
      <c r="C3" s="6">
        <v>53.6</v>
      </c>
      <c r="D3" s="6">
        <v>49.78</v>
      </c>
      <c r="E3" s="6">
        <v>52.16</v>
      </c>
      <c r="F3" s="6">
        <v>45.53</v>
      </c>
      <c r="G3" s="7">
        <v>12041000</v>
      </c>
      <c r="J3" s="5">
        <v>43770</v>
      </c>
      <c r="K3" s="19">
        <f t="shared" si="0"/>
        <v>5.7361820715280974E-2</v>
      </c>
      <c r="L3" s="19">
        <f t="shared" si="1"/>
        <v>2.7040947720834516E-2</v>
      </c>
      <c r="M3" s="19">
        <f t="shared" si="2"/>
        <v>7.217321571772242E-3</v>
      </c>
    </row>
    <row r="4" spans="1:13" ht="18" x14ac:dyDescent="0.2">
      <c r="A4" s="5">
        <v>43739</v>
      </c>
      <c r="B4" s="6">
        <v>46.47</v>
      </c>
      <c r="C4" s="6">
        <v>50.89</v>
      </c>
      <c r="D4" s="6">
        <v>42.55</v>
      </c>
      <c r="E4" s="6">
        <v>49.33</v>
      </c>
      <c r="F4" s="6">
        <v>43.06</v>
      </c>
      <c r="G4" s="7">
        <v>18983000</v>
      </c>
      <c r="J4" s="5">
        <v>43739</v>
      </c>
      <c r="K4" s="19">
        <f t="shared" si="0"/>
        <v>7.0345513298533571E-2</v>
      </c>
      <c r="L4" s="19">
        <f t="shared" si="1"/>
        <v>8.8589851415755441E-2</v>
      </c>
      <c r="M4" s="19">
        <f t="shared" si="2"/>
        <v>-5.5821371610844106E-3</v>
      </c>
    </row>
    <row r="5" spans="1:13" ht="18" x14ac:dyDescent="0.2">
      <c r="A5" s="5">
        <v>43709</v>
      </c>
      <c r="B5" s="6">
        <v>42.97</v>
      </c>
      <c r="C5" s="6">
        <v>47.84</v>
      </c>
      <c r="D5" s="6">
        <v>41.57</v>
      </c>
      <c r="E5" s="6">
        <v>46.08</v>
      </c>
      <c r="F5" s="6">
        <v>40.229999999999997</v>
      </c>
      <c r="G5" s="7">
        <v>16079300</v>
      </c>
      <c r="J5" s="5">
        <v>43709</v>
      </c>
      <c r="K5" s="19">
        <f t="shared" si="0"/>
        <v>6.7675159235668719E-2</v>
      </c>
      <c r="L5" s="19">
        <f t="shared" si="1"/>
        <v>9.2496171516079737E-2</v>
      </c>
      <c r="M5" s="19">
        <f t="shared" si="2"/>
        <v>2.2838499184339264E-2</v>
      </c>
    </row>
    <row r="6" spans="1:13" ht="18" x14ac:dyDescent="0.2">
      <c r="A6" s="5">
        <v>43678</v>
      </c>
      <c r="B6" s="6">
        <v>49.31</v>
      </c>
      <c r="C6" s="6">
        <v>49.83</v>
      </c>
      <c r="D6" s="6">
        <v>41.26</v>
      </c>
      <c r="E6" s="6">
        <v>43.42</v>
      </c>
      <c r="F6" s="6">
        <v>37.68</v>
      </c>
      <c r="G6" s="7">
        <v>17580700</v>
      </c>
      <c r="J6" s="5">
        <v>43678</v>
      </c>
      <c r="K6" s="19">
        <f t="shared" si="0"/>
        <v>-0.12188301095315771</v>
      </c>
      <c r="L6" s="19">
        <f t="shared" si="1"/>
        <v>-8.8243507400167648E-2</v>
      </c>
      <c r="M6" s="19">
        <f t="shared" si="2"/>
        <v>-3.4645669291338548E-2</v>
      </c>
    </row>
    <row r="7" spans="1:13" ht="18" x14ac:dyDescent="0.2">
      <c r="A7" s="5">
        <v>43647</v>
      </c>
      <c r="B7" s="6">
        <v>45.16</v>
      </c>
      <c r="C7" s="6">
        <v>50.41</v>
      </c>
      <c r="D7" s="6">
        <v>43.18</v>
      </c>
      <c r="E7" s="6">
        <v>49.44</v>
      </c>
      <c r="F7" s="6">
        <v>42.91</v>
      </c>
      <c r="G7" s="7">
        <v>16751400</v>
      </c>
      <c r="J7" s="5">
        <v>43647</v>
      </c>
      <c r="K7" s="19">
        <f t="shared" si="0"/>
        <v>0.10564287554753914</v>
      </c>
      <c r="L7" s="19">
        <f t="shared" si="1"/>
        <v>-1.9709827539009003E-2</v>
      </c>
      <c r="M7" s="19">
        <f t="shared" si="2"/>
        <v>0.1091703056768559</v>
      </c>
    </row>
    <row r="8" spans="1:13" ht="18" x14ac:dyDescent="0.2">
      <c r="A8" s="5">
        <v>43617</v>
      </c>
      <c r="B8" s="6">
        <v>41.12</v>
      </c>
      <c r="C8" s="6">
        <v>45.3</v>
      </c>
      <c r="D8" s="6">
        <v>41.04</v>
      </c>
      <c r="E8" s="6">
        <v>44.72</v>
      </c>
      <c r="F8" s="6">
        <v>38.81</v>
      </c>
      <c r="G8" s="7">
        <v>14342800</v>
      </c>
      <c r="J8" s="5">
        <v>43617</v>
      </c>
      <c r="K8" s="19">
        <f t="shared" si="0"/>
        <v>8.6810417250070049E-2</v>
      </c>
      <c r="L8" s="19">
        <f t="shared" si="1"/>
        <v>7.4411764705882386E-2</v>
      </c>
      <c r="M8" s="19">
        <f t="shared" si="2"/>
        <v>0.11381322957198443</v>
      </c>
    </row>
    <row r="9" spans="1:13" ht="18" x14ac:dyDescent="0.2">
      <c r="A9" s="5">
        <v>43586</v>
      </c>
      <c r="B9" s="6">
        <v>47.77</v>
      </c>
      <c r="C9" s="6">
        <v>49.13</v>
      </c>
      <c r="D9" s="6">
        <v>40.99</v>
      </c>
      <c r="E9" s="6">
        <v>41.15</v>
      </c>
      <c r="F9" s="6">
        <v>35.71</v>
      </c>
      <c r="G9" s="7">
        <v>13783000</v>
      </c>
      <c r="J9" s="5">
        <v>43586</v>
      </c>
      <c r="K9" s="19">
        <f t="shared" si="0"/>
        <v>-0.1388955871714492</v>
      </c>
      <c r="L9" s="19">
        <f t="shared" si="1"/>
        <v>-0.12686183872624546</v>
      </c>
      <c r="M9" s="19">
        <f t="shared" si="2"/>
        <v>-0.11149524632670708</v>
      </c>
    </row>
    <row r="10" spans="1:13" ht="18" x14ac:dyDescent="0.2">
      <c r="A10" s="5">
        <v>43556</v>
      </c>
      <c r="B10" s="6">
        <v>41.85</v>
      </c>
      <c r="C10" s="6">
        <v>48.8</v>
      </c>
      <c r="D10" s="6">
        <v>41.37</v>
      </c>
      <c r="E10" s="6">
        <v>47.78</v>
      </c>
      <c r="F10" s="6">
        <v>41.47</v>
      </c>
      <c r="G10" s="7">
        <v>20708300</v>
      </c>
      <c r="J10" s="5">
        <v>43556</v>
      </c>
      <c r="K10" s="19">
        <f t="shared" si="0"/>
        <v>0.16423357664233582</v>
      </c>
      <c r="L10" s="19">
        <f t="shared" si="1"/>
        <v>8.6192468619246759E-2</v>
      </c>
      <c r="M10" s="19">
        <f t="shared" si="2"/>
        <v>8.9453860640301419E-2</v>
      </c>
    </row>
    <row r="11" spans="1:13" ht="18" x14ac:dyDescent="0.2">
      <c r="A11" s="5">
        <v>43525</v>
      </c>
      <c r="B11" s="6">
        <v>46.63</v>
      </c>
      <c r="C11" s="6">
        <v>47</v>
      </c>
      <c r="D11" s="6">
        <v>38.549999999999997</v>
      </c>
      <c r="E11" s="6">
        <v>41.04</v>
      </c>
      <c r="F11" s="6">
        <v>35.619999999999997</v>
      </c>
      <c r="G11" s="7">
        <v>19258100</v>
      </c>
      <c r="J11" s="5">
        <v>43525</v>
      </c>
      <c r="K11" s="19">
        <f t="shared" si="0"/>
        <v>-0.11282689912826903</v>
      </c>
      <c r="L11" s="19">
        <f t="shared" si="1"/>
        <v>-0.10598503740648378</v>
      </c>
      <c r="M11" s="19">
        <f t="shared" si="2"/>
        <v>-0.10530749789385005</v>
      </c>
    </row>
    <row r="12" spans="1:13" ht="18" x14ac:dyDescent="0.2">
      <c r="A12" s="5">
        <v>43497</v>
      </c>
      <c r="B12" s="6">
        <v>44.4</v>
      </c>
      <c r="C12" s="6">
        <v>47.62</v>
      </c>
      <c r="D12" s="6">
        <v>44.05</v>
      </c>
      <c r="E12" s="6">
        <v>46.27</v>
      </c>
      <c r="F12" s="6">
        <v>40.15</v>
      </c>
      <c r="G12" s="7">
        <v>14135100</v>
      </c>
      <c r="J12" s="5">
        <v>43497</v>
      </c>
      <c r="K12" s="19">
        <f t="shared" si="0"/>
        <v>4.4756700494405381E-2</v>
      </c>
      <c r="L12" s="19">
        <f t="shared" si="1"/>
        <v>7.3915372254954412E-2</v>
      </c>
      <c r="M12" s="19">
        <f t="shared" si="2"/>
        <v>6.4573991031390027E-2</v>
      </c>
    </row>
    <row r="13" spans="1:13" ht="18" x14ac:dyDescent="0.2">
      <c r="A13" s="5">
        <v>43466</v>
      </c>
      <c r="B13" s="6">
        <v>38.75</v>
      </c>
      <c r="C13" s="6">
        <v>46.62</v>
      </c>
      <c r="D13" s="6">
        <v>38.75</v>
      </c>
      <c r="E13" s="6">
        <v>44.28</v>
      </c>
      <c r="F13" s="6">
        <v>38.43</v>
      </c>
      <c r="G13" s="7">
        <v>21151500</v>
      </c>
      <c r="J13" s="5">
        <v>43466</v>
      </c>
      <c r="K13" s="19">
        <f t="shared" si="0"/>
        <v>0.12138896994455781</v>
      </c>
      <c r="L13" s="19">
        <f t="shared" si="1"/>
        <v>0.16796997184860821</v>
      </c>
      <c r="M13" s="19">
        <f t="shared" si="2"/>
        <v>0.12512613521695259</v>
      </c>
    </row>
    <row r="14" spans="1:13" ht="18" x14ac:dyDescent="0.2">
      <c r="A14" s="5">
        <v>43435</v>
      </c>
      <c r="B14" s="6">
        <v>47.43</v>
      </c>
      <c r="C14" s="6">
        <v>47.9</v>
      </c>
      <c r="D14" s="6">
        <v>37.39</v>
      </c>
      <c r="E14" s="6">
        <v>39.49</v>
      </c>
      <c r="F14" s="6">
        <v>34.270000000000003</v>
      </c>
      <c r="G14" s="7">
        <v>28723100</v>
      </c>
      <c r="J14" s="5">
        <v>43435</v>
      </c>
      <c r="K14" s="19">
        <f t="shared" si="0"/>
        <v>-0.15757128810226148</v>
      </c>
      <c r="L14" s="19">
        <f t="shared" si="1"/>
        <v>-0.15757575757575767</v>
      </c>
      <c r="M14" s="19">
        <f t="shared" si="2"/>
        <v>-0.20209339774557164</v>
      </c>
    </row>
    <row r="15" spans="1:13" ht="18" x14ac:dyDescent="0.2">
      <c r="A15" s="5">
        <v>43405</v>
      </c>
      <c r="B15" s="6">
        <v>48.52</v>
      </c>
      <c r="C15" s="6">
        <v>49.75</v>
      </c>
      <c r="D15" s="6">
        <v>45.62</v>
      </c>
      <c r="E15" s="6">
        <v>46.87</v>
      </c>
      <c r="F15" s="6">
        <v>40.68</v>
      </c>
      <c r="G15" s="7">
        <v>12413900</v>
      </c>
      <c r="J15" s="5">
        <v>43405</v>
      </c>
      <c r="K15" s="19">
        <f t="shared" si="0"/>
        <v>-2.8189202102245573E-2</v>
      </c>
      <c r="L15" s="19">
        <f t="shared" si="1"/>
        <v>3.4341782502044296E-2</v>
      </c>
      <c r="M15" s="19">
        <f t="shared" si="2"/>
        <v>2.1381578947368404E-2</v>
      </c>
    </row>
    <row r="16" spans="1:13" ht="18" x14ac:dyDescent="0.2">
      <c r="A16" s="5">
        <v>43374</v>
      </c>
      <c r="B16" s="6">
        <v>57.33</v>
      </c>
      <c r="C16" s="6">
        <v>58.97</v>
      </c>
      <c r="D16" s="6">
        <v>45.54</v>
      </c>
      <c r="E16" s="6">
        <v>48.24</v>
      </c>
      <c r="F16" s="6">
        <v>41.86</v>
      </c>
      <c r="G16" s="7">
        <v>27354000</v>
      </c>
      <c r="J16" s="5">
        <v>43374</v>
      </c>
      <c r="K16" s="19">
        <f t="shared" si="0"/>
        <v>-0.15211667004253593</v>
      </c>
      <c r="L16" s="19">
        <f t="shared" si="1"/>
        <v>-6.1876757862439319E-2</v>
      </c>
      <c r="M16" s="19">
        <f t="shared" si="2"/>
        <v>-5.8823529411764691E-2</v>
      </c>
    </row>
    <row r="17" spans="1:13" ht="18" x14ac:dyDescent="0.2">
      <c r="A17" s="5">
        <v>43344</v>
      </c>
      <c r="B17" s="6">
        <v>57.7</v>
      </c>
      <c r="C17" s="6">
        <v>60.01</v>
      </c>
      <c r="D17" s="6">
        <v>55.87</v>
      </c>
      <c r="E17" s="6">
        <v>56.89</v>
      </c>
      <c r="F17" s="6">
        <v>49.37</v>
      </c>
      <c r="G17" s="7">
        <v>14229600</v>
      </c>
      <c r="J17" s="5">
        <v>43344</v>
      </c>
      <c r="K17" s="19">
        <f t="shared" si="0"/>
        <v>-1.3192084749150583E-2</v>
      </c>
      <c r="L17" s="19">
        <f t="shared" si="1"/>
        <v>-5.3714009194289834E-2</v>
      </c>
      <c r="M17" s="19">
        <f t="shared" si="2"/>
        <v>-6.308919506889045E-2</v>
      </c>
    </row>
    <row r="18" spans="1:13" ht="18" x14ac:dyDescent="0.2">
      <c r="A18" s="5">
        <v>43313</v>
      </c>
      <c r="B18" s="6">
        <v>56.97</v>
      </c>
      <c r="C18" s="6">
        <v>59.05</v>
      </c>
      <c r="D18" s="6">
        <v>55.7</v>
      </c>
      <c r="E18" s="6">
        <v>57.65</v>
      </c>
      <c r="F18" s="6">
        <v>50.03</v>
      </c>
      <c r="G18" s="7">
        <v>11875100</v>
      </c>
      <c r="J18" s="5">
        <v>43313</v>
      </c>
      <c r="K18" s="19">
        <f t="shared" si="0"/>
        <v>1.6456724908573798E-2</v>
      </c>
      <c r="L18" s="19">
        <f t="shared" si="1"/>
        <v>3.0673316708229346E-2</v>
      </c>
      <c r="M18" s="19">
        <f t="shared" si="2"/>
        <v>2.9873039581777339E-2</v>
      </c>
    </row>
    <row r="19" spans="1:13" ht="18" x14ac:dyDescent="0.2">
      <c r="A19" s="5">
        <v>43282</v>
      </c>
      <c r="B19" s="6">
        <v>56.29</v>
      </c>
      <c r="C19" s="6">
        <v>59.83</v>
      </c>
      <c r="D19" s="6">
        <v>55.86</v>
      </c>
      <c r="E19" s="6">
        <v>56.72</v>
      </c>
      <c r="F19" s="6">
        <v>49.22</v>
      </c>
      <c r="G19" s="7">
        <v>14409400</v>
      </c>
      <c r="J19" s="5">
        <v>43282</v>
      </c>
      <c r="K19" s="19">
        <f t="shared" si="0"/>
        <v>1.8318746183593792E-3</v>
      </c>
      <c r="L19" s="19">
        <f t="shared" si="1"/>
        <v>-1.8600097895252032E-2</v>
      </c>
      <c r="M19" s="19">
        <f t="shared" si="2"/>
        <v>9.0429540316504138E-3</v>
      </c>
    </row>
    <row r="20" spans="1:13" ht="18" x14ac:dyDescent="0.2">
      <c r="A20" s="5">
        <v>43252</v>
      </c>
      <c r="B20" s="6">
        <v>61.29</v>
      </c>
      <c r="C20" s="6">
        <v>64.06</v>
      </c>
      <c r="D20" s="6">
        <v>56.53</v>
      </c>
      <c r="E20" s="6">
        <v>56.61</v>
      </c>
      <c r="F20" s="6">
        <v>49.13</v>
      </c>
      <c r="G20" s="7">
        <v>12495200</v>
      </c>
      <c r="J20" s="5">
        <v>43252</v>
      </c>
      <c r="K20" s="19">
        <f t="shared" si="0"/>
        <v>-6.0611854684512328E-2</v>
      </c>
      <c r="L20" s="19">
        <f t="shared" si="1"/>
        <v>-3.4727143869596008E-2</v>
      </c>
      <c r="M20" s="19">
        <f t="shared" si="2"/>
        <v>-3.7708484408991993E-2</v>
      </c>
    </row>
    <row r="21" spans="1:13" ht="18" x14ac:dyDescent="0.2">
      <c r="A21" s="5">
        <v>43221</v>
      </c>
      <c r="B21" s="6">
        <v>58.97</v>
      </c>
      <c r="C21" s="6">
        <v>62.66</v>
      </c>
      <c r="D21" s="6">
        <v>57.59</v>
      </c>
      <c r="E21" s="6">
        <v>60.26</v>
      </c>
      <c r="F21" s="6">
        <v>52.3</v>
      </c>
      <c r="G21" s="7">
        <v>11160600</v>
      </c>
      <c r="J21" s="5">
        <v>43221</v>
      </c>
      <c r="K21" s="19">
        <f t="shared" si="0"/>
        <v>2.1883548261039418E-2</v>
      </c>
      <c r="L21" s="19">
        <f t="shared" si="1"/>
        <v>1.182592242194824E-3</v>
      </c>
      <c r="M21" s="19">
        <f t="shared" si="2"/>
        <v>1.322556943423951E-2</v>
      </c>
    </row>
    <row r="22" spans="1:13" ht="18" x14ac:dyDescent="0.2">
      <c r="A22" s="5">
        <v>43191</v>
      </c>
      <c r="B22" s="6">
        <v>57.88</v>
      </c>
      <c r="C22" s="6">
        <v>60.63</v>
      </c>
      <c r="D22" s="6">
        <v>55.32</v>
      </c>
      <c r="E22" s="6">
        <v>58.98</v>
      </c>
      <c r="F22" s="6">
        <v>51.18</v>
      </c>
      <c r="G22" s="7">
        <v>11634400</v>
      </c>
      <c r="J22" s="5">
        <v>43191</v>
      </c>
      <c r="K22" s="19">
        <f t="shared" si="0"/>
        <v>1.4872099940511601E-2</v>
      </c>
      <c r="L22" s="19">
        <f t="shared" si="1"/>
        <v>3.831041257367393E-2</v>
      </c>
      <c r="M22" s="19">
        <f t="shared" si="2"/>
        <v>-2.2270114942528771E-2</v>
      </c>
    </row>
    <row r="23" spans="1:13" ht="18" x14ac:dyDescent="0.2">
      <c r="A23" s="5">
        <v>43160</v>
      </c>
      <c r="B23" s="6">
        <v>58.46</v>
      </c>
      <c r="C23" s="6">
        <v>62.49</v>
      </c>
      <c r="D23" s="6">
        <v>55.62</v>
      </c>
      <c r="E23" s="6">
        <v>58.11</v>
      </c>
      <c r="F23" s="6">
        <v>50.43</v>
      </c>
      <c r="G23" s="7">
        <v>15465500</v>
      </c>
      <c r="J23" s="5">
        <v>43160</v>
      </c>
      <c r="K23" s="19">
        <f t="shared" si="0"/>
        <v>-5.913660555884037E-3</v>
      </c>
      <c r="L23" s="19">
        <f t="shared" si="1"/>
        <v>-3.7124615748403887E-2</v>
      </c>
      <c r="M23" s="19">
        <f t="shared" si="2"/>
        <v>-1.1363636363636374E-2</v>
      </c>
    </row>
    <row r="24" spans="1:13" ht="18" x14ac:dyDescent="0.2">
      <c r="A24" s="5">
        <v>43132</v>
      </c>
      <c r="B24" s="6">
        <v>58.49</v>
      </c>
      <c r="C24" s="6">
        <v>61.5</v>
      </c>
      <c r="D24" s="6">
        <v>55.35</v>
      </c>
      <c r="E24" s="6">
        <v>58.46</v>
      </c>
      <c r="F24" s="6">
        <v>50.73</v>
      </c>
      <c r="G24" s="7">
        <v>13175800</v>
      </c>
      <c r="J24" s="5">
        <v>43132</v>
      </c>
      <c r="K24" s="19">
        <f t="shared" si="0"/>
        <v>-3.5356511490866179E-3</v>
      </c>
      <c r="L24" s="19">
        <f t="shared" si="1"/>
        <v>1.7320182824152004E-2</v>
      </c>
      <c r="M24" s="19">
        <f t="shared" si="2"/>
        <v>-4.0871934604904611E-2</v>
      </c>
    </row>
    <row r="25" spans="1:13" ht="18" x14ac:dyDescent="0.2">
      <c r="A25" s="5">
        <v>43101</v>
      </c>
      <c r="B25" s="6">
        <v>57.23</v>
      </c>
      <c r="C25" s="6">
        <v>60.68</v>
      </c>
      <c r="D25" s="6">
        <v>56.24</v>
      </c>
      <c r="E25" s="6">
        <v>58.66</v>
      </c>
      <c r="F25" s="6">
        <v>50.91</v>
      </c>
      <c r="G25" s="7">
        <v>15293500</v>
      </c>
      <c r="J25" s="5">
        <v>43101</v>
      </c>
      <c r="K25" s="19">
        <f t="shared" si="0"/>
        <v>3.601953601953594E-2</v>
      </c>
      <c r="L25" s="19">
        <f t="shared" si="1"/>
        <v>6.2899514190744077E-2</v>
      </c>
      <c r="M25" s="19">
        <f t="shared" si="2"/>
        <v>-6.7658998646819794E-3</v>
      </c>
    </row>
    <row r="26" spans="1:13" ht="18" x14ac:dyDescent="0.2">
      <c r="A26" s="5">
        <v>43070</v>
      </c>
      <c r="B26" s="6">
        <v>58.27</v>
      </c>
      <c r="C26" s="6">
        <v>60.25</v>
      </c>
      <c r="D26" s="6">
        <v>56</v>
      </c>
      <c r="E26" s="6">
        <v>56.62</v>
      </c>
      <c r="F26" s="6">
        <v>49.14</v>
      </c>
      <c r="G26" s="7">
        <v>11229800</v>
      </c>
      <c r="J26" s="5">
        <v>43070</v>
      </c>
      <c r="K26" s="19">
        <f t="shared" si="0"/>
        <v>-2.673796791443853E-2</v>
      </c>
      <c r="L26" s="19">
        <f t="shared" si="1"/>
        <v>2.9481442484864367E-2</v>
      </c>
      <c r="M26" s="19">
        <f t="shared" si="2"/>
        <v>3.6465638148667573E-2</v>
      </c>
    </row>
    <row r="27" spans="1:13" ht="18" x14ac:dyDescent="0.2">
      <c r="A27" s="5">
        <v>43040</v>
      </c>
      <c r="B27" s="6">
        <v>56.26</v>
      </c>
      <c r="C27" s="6">
        <v>59.7</v>
      </c>
      <c r="D27" s="6">
        <v>52.72</v>
      </c>
      <c r="E27" s="6">
        <v>58.18</v>
      </c>
      <c r="F27" s="6">
        <v>50.49</v>
      </c>
      <c r="G27" s="7">
        <v>10939300</v>
      </c>
      <c r="J27" s="5">
        <v>43040</v>
      </c>
      <c r="K27" s="19">
        <f t="shared" si="0"/>
        <v>4.2535618418335787E-2</v>
      </c>
      <c r="L27" s="19">
        <f t="shared" si="1"/>
        <v>6.6535654126895133E-2</v>
      </c>
      <c r="M27" s="19">
        <f t="shared" si="2"/>
        <v>3.2585083272990534E-2</v>
      </c>
    </row>
    <row r="28" spans="1:13" ht="18" x14ac:dyDescent="0.2">
      <c r="A28" s="5">
        <v>43009</v>
      </c>
      <c r="B28" s="6">
        <v>53</v>
      </c>
      <c r="C28" s="6">
        <v>56.67</v>
      </c>
      <c r="D28" s="6">
        <v>51.82</v>
      </c>
      <c r="E28" s="6">
        <v>55.8</v>
      </c>
      <c r="F28" s="6">
        <v>48.43</v>
      </c>
      <c r="G28" s="7">
        <v>16354600</v>
      </c>
      <c r="J28" s="5">
        <v>43009</v>
      </c>
      <c r="K28" s="19">
        <f t="shared" si="0"/>
        <v>5.1454624402952613E-2</v>
      </c>
      <c r="L28" s="19">
        <f t="shared" si="1"/>
        <v>-1.5205971799834234E-2</v>
      </c>
      <c r="M28" s="19">
        <f t="shared" si="2"/>
        <v>-1.4275517487508872E-2</v>
      </c>
    </row>
    <row r="29" spans="1:13" ht="18" x14ac:dyDescent="0.2">
      <c r="A29" s="5">
        <v>42979</v>
      </c>
      <c r="B29" s="6">
        <v>48.34</v>
      </c>
      <c r="C29" s="6">
        <v>53.79</v>
      </c>
      <c r="D29" s="6">
        <v>44.83</v>
      </c>
      <c r="E29" s="6">
        <v>53.08</v>
      </c>
      <c r="F29" s="6">
        <v>46.06</v>
      </c>
      <c r="G29" s="7">
        <v>15596800</v>
      </c>
      <c r="J29" s="5">
        <v>42979</v>
      </c>
      <c r="K29" s="19">
        <f t="shared" si="0"/>
        <v>0.10033444816053519</v>
      </c>
      <c r="L29" s="19">
        <f t="shared" si="1"/>
        <v>8.3582983822648255E-2</v>
      </c>
      <c r="M29" s="19">
        <f t="shared" si="2"/>
        <v>0.11278792692613185</v>
      </c>
    </row>
    <row r="30" spans="1:13" ht="18" x14ac:dyDescent="0.2">
      <c r="A30" s="5">
        <v>42948</v>
      </c>
      <c r="B30" s="6">
        <v>50.75</v>
      </c>
      <c r="C30" s="6">
        <v>51.47</v>
      </c>
      <c r="D30" s="6">
        <v>46.13</v>
      </c>
      <c r="E30" s="6">
        <v>48.23</v>
      </c>
      <c r="F30" s="6">
        <v>41.86</v>
      </c>
      <c r="G30" s="7">
        <v>9356300</v>
      </c>
      <c r="J30" s="5">
        <v>42948</v>
      </c>
      <c r="K30" s="19">
        <f t="shared" si="0"/>
        <v>-4.25434583714547E-2</v>
      </c>
      <c r="L30" s="19">
        <f t="shared" si="1"/>
        <v>-3.665223665223654E-2</v>
      </c>
      <c r="M30" s="19">
        <f t="shared" si="2"/>
        <v>-1.2549019607843149E-2</v>
      </c>
    </row>
    <row r="31" spans="1:13" ht="18" x14ac:dyDescent="0.2">
      <c r="A31" s="5">
        <v>42917</v>
      </c>
      <c r="B31" s="6">
        <v>49.51</v>
      </c>
      <c r="C31" s="6">
        <v>51.78</v>
      </c>
      <c r="D31" s="6">
        <v>48.33</v>
      </c>
      <c r="E31" s="6">
        <v>50.38</v>
      </c>
      <c r="F31" s="6">
        <v>43.72</v>
      </c>
      <c r="G31" s="7">
        <v>11214300</v>
      </c>
      <c r="J31" s="5">
        <v>42917</v>
      </c>
      <c r="K31" s="19">
        <f t="shared" si="0"/>
        <v>2.3887587822013955E-2</v>
      </c>
      <c r="L31" s="19">
        <f t="shared" si="1"/>
        <v>3.2171581769436949E-2</v>
      </c>
      <c r="M31" s="19">
        <f t="shared" si="2"/>
        <v>5.5205047318612217E-3</v>
      </c>
    </row>
    <row r="32" spans="1:13" ht="18" x14ac:dyDescent="0.2">
      <c r="A32" s="5">
        <v>42887</v>
      </c>
      <c r="B32" s="6">
        <v>46.17</v>
      </c>
      <c r="C32" s="6">
        <v>50.6</v>
      </c>
      <c r="D32" s="6">
        <v>44.95</v>
      </c>
      <c r="E32" s="6">
        <v>49.2</v>
      </c>
      <c r="F32" s="6">
        <v>42.7</v>
      </c>
      <c r="G32" s="7">
        <v>14870200</v>
      </c>
      <c r="J32" s="5">
        <v>42887</v>
      </c>
      <c r="K32" s="19">
        <f t="shared" si="0"/>
        <v>7.6108870967742021E-2</v>
      </c>
      <c r="L32" s="19">
        <f t="shared" si="1"/>
        <v>9.7776324395029507E-2</v>
      </c>
      <c r="M32" s="19">
        <f t="shared" si="2"/>
        <v>2.8386050283860473E-2</v>
      </c>
    </row>
    <row r="33" spans="1:13" ht="18" x14ac:dyDescent="0.2">
      <c r="A33" s="5">
        <v>42856</v>
      </c>
      <c r="B33" s="6">
        <v>48.19</v>
      </c>
      <c r="C33" s="6">
        <v>49.47</v>
      </c>
      <c r="D33" s="6">
        <v>44.64</v>
      </c>
      <c r="E33" s="6">
        <v>45.72</v>
      </c>
      <c r="F33" s="6">
        <v>39.68</v>
      </c>
      <c r="G33" s="7">
        <v>14300700</v>
      </c>
      <c r="J33" s="5">
        <v>42856</v>
      </c>
      <c r="K33" s="19">
        <f t="shared" si="0"/>
        <v>-4.5465479913399102E-2</v>
      </c>
      <c r="L33" s="19">
        <f t="shared" si="1"/>
        <v>9.8199672667749873E-4</v>
      </c>
      <c r="M33" s="19">
        <f t="shared" si="2"/>
        <v>-7.6404494382022445E-2</v>
      </c>
    </row>
    <row r="34" spans="1:13" ht="18" x14ac:dyDescent="0.2">
      <c r="A34" s="5">
        <v>42826</v>
      </c>
      <c r="B34" s="6">
        <v>49.38</v>
      </c>
      <c r="C34" s="6">
        <v>49.93</v>
      </c>
      <c r="D34" s="6">
        <v>45.15</v>
      </c>
      <c r="E34" s="6">
        <v>47.9</v>
      </c>
      <c r="F34" s="6">
        <v>41.57</v>
      </c>
      <c r="G34" s="7">
        <v>17097500</v>
      </c>
      <c r="J34" s="5">
        <v>42826</v>
      </c>
      <c r="K34" s="19">
        <f t="shared" ref="K34:K61" si="3">(F34-F35)/F35</f>
        <v>-2.417840375586857E-2</v>
      </c>
      <c r="L34" s="19">
        <f t="shared" ref="L34:L65" si="4">(F99-F100)/F100</f>
        <v>-4.6801872074882886E-2</v>
      </c>
      <c r="M34" s="19">
        <f t="shared" ref="M34:M65" si="5">(F164-F165)/F165</f>
        <v>-3.7313432835821424E-3</v>
      </c>
    </row>
    <row r="35" spans="1:13" ht="18" x14ac:dyDescent="0.2">
      <c r="A35" s="5">
        <v>42795</v>
      </c>
      <c r="B35" s="6">
        <v>53.3</v>
      </c>
      <c r="C35" s="6">
        <v>53.84</v>
      </c>
      <c r="D35" s="6">
        <v>45.16</v>
      </c>
      <c r="E35" s="6">
        <v>49.09</v>
      </c>
      <c r="F35" s="6">
        <v>42.6</v>
      </c>
      <c r="G35" s="7">
        <v>16376400</v>
      </c>
      <c r="J35" s="5">
        <v>42795</v>
      </c>
      <c r="K35" s="19">
        <f t="shared" si="3"/>
        <v>-4.9319348359741146E-2</v>
      </c>
      <c r="L35" s="19">
        <f t="shared" si="4"/>
        <v>-6.2865497076023555E-2</v>
      </c>
      <c r="M35" s="19">
        <f t="shared" si="5"/>
        <v>-7.2664359861591629E-2</v>
      </c>
    </row>
    <row r="36" spans="1:13" ht="18" x14ac:dyDescent="0.2">
      <c r="A36" s="5">
        <v>42767</v>
      </c>
      <c r="B36" s="6">
        <v>49.99</v>
      </c>
      <c r="C36" s="6">
        <v>53.7</v>
      </c>
      <c r="D36" s="6">
        <v>48.3</v>
      </c>
      <c r="E36" s="6">
        <v>51.64</v>
      </c>
      <c r="F36" s="6">
        <v>44.81</v>
      </c>
      <c r="G36" s="7">
        <v>10780800</v>
      </c>
      <c r="J36" s="5">
        <v>42767</v>
      </c>
      <c r="K36" s="19">
        <f t="shared" si="3"/>
        <v>4.5740956826137706E-2</v>
      </c>
      <c r="L36" s="19">
        <f t="shared" si="4"/>
        <v>6.4094586185438771E-2</v>
      </c>
      <c r="M36" s="19">
        <f t="shared" si="5"/>
        <v>-2.7605244996549982E-3</v>
      </c>
    </row>
    <row r="37" spans="1:13" ht="18" x14ac:dyDescent="0.2">
      <c r="A37" s="5">
        <v>42736</v>
      </c>
      <c r="B37" s="6">
        <v>50.15</v>
      </c>
      <c r="C37" s="6">
        <v>50.67</v>
      </c>
      <c r="D37" s="6">
        <v>47.15</v>
      </c>
      <c r="E37" s="6">
        <v>49.38</v>
      </c>
      <c r="F37" s="6">
        <v>42.85</v>
      </c>
      <c r="G37" s="7">
        <v>12268100</v>
      </c>
      <c r="J37" s="5">
        <v>42736</v>
      </c>
      <c r="K37" s="19">
        <f t="shared" si="3"/>
        <v>1.372131535367869E-2</v>
      </c>
      <c r="L37" s="19">
        <f t="shared" si="4"/>
        <v>-1.9524100061012829E-2</v>
      </c>
      <c r="M37" s="19">
        <f t="shared" si="5"/>
        <v>2.768166089965462E-3</v>
      </c>
    </row>
    <row r="38" spans="1:13" ht="18" x14ac:dyDescent="0.2">
      <c r="A38" s="5">
        <v>42705</v>
      </c>
      <c r="B38" s="6">
        <v>47.26</v>
      </c>
      <c r="C38" s="6">
        <v>50.72</v>
      </c>
      <c r="D38" s="6">
        <v>46.98</v>
      </c>
      <c r="E38" s="6">
        <v>48.71</v>
      </c>
      <c r="F38" s="6">
        <v>42.27</v>
      </c>
      <c r="G38" s="7">
        <v>15230800</v>
      </c>
      <c r="J38" s="5">
        <v>42705</v>
      </c>
      <c r="K38" s="19">
        <f t="shared" si="3"/>
        <v>4.2416769420468708E-2</v>
      </c>
      <c r="L38" s="19">
        <f t="shared" si="4"/>
        <v>8.3994708994709094E-2</v>
      </c>
      <c r="M38" s="19">
        <f t="shared" si="5"/>
        <v>4.862119013062409E-2</v>
      </c>
    </row>
    <row r="39" spans="1:13" ht="18" x14ac:dyDescent="0.2">
      <c r="A39" s="5">
        <v>42675</v>
      </c>
      <c r="B39" s="6">
        <v>37.64</v>
      </c>
      <c r="C39" s="6">
        <v>46.96</v>
      </c>
      <c r="D39" s="6">
        <v>36.299999999999997</v>
      </c>
      <c r="E39" s="6">
        <v>46.72</v>
      </c>
      <c r="F39" s="6">
        <v>40.549999999999997</v>
      </c>
      <c r="G39" s="7">
        <v>16850900</v>
      </c>
      <c r="J39" s="5">
        <v>42675</v>
      </c>
      <c r="K39" s="19">
        <f t="shared" si="3"/>
        <v>0.25077112893275738</v>
      </c>
      <c r="L39" s="19">
        <f t="shared" si="4"/>
        <v>0.23529411764705874</v>
      </c>
      <c r="M39" s="19">
        <f t="shared" si="5"/>
        <v>0.23809523809523794</v>
      </c>
    </row>
    <row r="40" spans="1:13" ht="18" x14ac:dyDescent="0.2">
      <c r="A40" s="5">
        <v>42644</v>
      </c>
      <c r="B40" s="6">
        <v>37.270000000000003</v>
      </c>
      <c r="C40" s="6">
        <v>39.520000000000003</v>
      </c>
      <c r="D40" s="6">
        <v>35.56</v>
      </c>
      <c r="E40" s="6">
        <v>37.36</v>
      </c>
      <c r="F40" s="6">
        <v>32.42</v>
      </c>
      <c r="G40" s="7">
        <v>13179500</v>
      </c>
      <c r="J40" s="5">
        <v>42644</v>
      </c>
      <c r="K40" s="19">
        <f t="shared" si="3"/>
        <v>-4.9109883364025966E-3</v>
      </c>
      <c r="L40" s="19">
        <f t="shared" si="4"/>
        <v>3.8167938931297801E-2</v>
      </c>
      <c r="M40" s="19">
        <f t="shared" si="5"/>
        <v>1.7367458866544908E-2</v>
      </c>
    </row>
    <row r="41" spans="1:13" ht="18" x14ac:dyDescent="0.2">
      <c r="A41" s="5">
        <v>42614</v>
      </c>
      <c r="B41" s="6">
        <v>38.229999999999997</v>
      </c>
      <c r="C41" s="6">
        <v>38.549999999999997</v>
      </c>
      <c r="D41" s="6">
        <v>35.659999999999997</v>
      </c>
      <c r="E41" s="6">
        <v>37.54</v>
      </c>
      <c r="F41" s="6">
        <v>32.58</v>
      </c>
      <c r="G41" s="7">
        <v>15218900</v>
      </c>
      <c r="J41" s="5">
        <v>42614</v>
      </c>
      <c r="K41" s="19">
        <f t="shared" si="3"/>
        <v>-1.7787157069641343E-2</v>
      </c>
      <c r="L41" s="19">
        <f t="shared" si="4"/>
        <v>1.6817593790426778E-2</v>
      </c>
      <c r="M41" s="19">
        <f t="shared" si="5"/>
        <v>-9.9547511312218281E-3</v>
      </c>
    </row>
    <row r="42" spans="1:13" ht="18" x14ac:dyDescent="0.2">
      <c r="A42" s="5">
        <v>42583</v>
      </c>
      <c r="B42" s="6">
        <v>34.15</v>
      </c>
      <c r="C42" s="6">
        <v>38.39</v>
      </c>
      <c r="D42" s="6">
        <v>33.28</v>
      </c>
      <c r="E42" s="6">
        <v>38.22</v>
      </c>
      <c r="F42" s="6">
        <v>33.17</v>
      </c>
      <c r="G42" s="7">
        <v>13015800</v>
      </c>
      <c r="J42" s="5">
        <v>42583</v>
      </c>
      <c r="K42" s="19">
        <f t="shared" si="3"/>
        <v>0.12326447680325095</v>
      </c>
      <c r="L42" s="19">
        <f t="shared" si="4"/>
        <v>9.7491717936583164E-2</v>
      </c>
      <c r="M42" s="19">
        <f t="shared" si="5"/>
        <v>5.6405353728489468E-2</v>
      </c>
    </row>
    <row r="43" spans="1:13" ht="18" x14ac:dyDescent="0.2">
      <c r="A43" s="5">
        <v>42552</v>
      </c>
      <c r="B43" s="6">
        <v>32.29</v>
      </c>
      <c r="C43" s="6">
        <v>35.11</v>
      </c>
      <c r="D43" s="6">
        <v>30.69</v>
      </c>
      <c r="E43" s="6">
        <v>34.03</v>
      </c>
      <c r="F43" s="6">
        <v>29.53</v>
      </c>
      <c r="G43" s="7">
        <v>15189700</v>
      </c>
      <c r="J43" s="5">
        <v>42552</v>
      </c>
      <c r="K43" s="19">
        <f t="shared" si="3"/>
        <v>4.2357924461701481E-2</v>
      </c>
      <c r="L43" s="19">
        <f t="shared" si="4"/>
        <v>0.10918635170603665</v>
      </c>
      <c r="M43" s="19">
        <f t="shared" si="5"/>
        <v>6.1928934010152412E-2</v>
      </c>
    </row>
    <row r="44" spans="1:13" ht="18" x14ac:dyDescent="0.2">
      <c r="A44" s="5">
        <v>42522</v>
      </c>
      <c r="B44" s="6">
        <v>37.39</v>
      </c>
      <c r="C44" s="6">
        <v>38.36</v>
      </c>
      <c r="D44" s="6">
        <v>29.72</v>
      </c>
      <c r="E44" s="6">
        <v>32.65</v>
      </c>
      <c r="F44" s="6">
        <v>28.33</v>
      </c>
      <c r="G44" s="7">
        <v>36344200</v>
      </c>
      <c r="J44" s="5">
        <v>42522</v>
      </c>
      <c r="K44" s="19">
        <f t="shared" si="3"/>
        <v>-0.13416870415647925</v>
      </c>
      <c r="L44" s="19">
        <f t="shared" si="4"/>
        <v>-0.10099103350637095</v>
      </c>
      <c r="M44" s="19">
        <f t="shared" si="5"/>
        <v>-5.3794428434197933E-2</v>
      </c>
    </row>
    <row r="45" spans="1:13" ht="18" x14ac:dyDescent="0.2">
      <c r="A45" s="5">
        <v>42491</v>
      </c>
      <c r="B45" s="6">
        <v>36.65</v>
      </c>
      <c r="C45" s="6">
        <v>38.03</v>
      </c>
      <c r="D45" s="6">
        <v>33.619999999999997</v>
      </c>
      <c r="E45" s="6">
        <v>37.700000000000003</v>
      </c>
      <c r="F45" s="6">
        <v>32.72</v>
      </c>
      <c r="G45" s="7">
        <v>15627200</v>
      </c>
      <c r="J45" s="5">
        <v>42491</v>
      </c>
      <c r="K45" s="19">
        <f t="shared" si="3"/>
        <v>3.0551181102362168E-2</v>
      </c>
      <c r="L45" s="19">
        <f t="shared" si="4"/>
        <v>1.8260451705910744E-2</v>
      </c>
      <c r="M45" s="19">
        <f t="shared" si="5"/>
        <v>3.3763654419066522E-2</v>
      </c>
    </row>
    <row r="46" spans="1:13" ht="18" x14ac:dyDescent="0.2">
      <c r="A46" s="5">
        <v>42461</v>
      </c>
      <c r="B46" s="6">
        <v>33.29</v>
      </c>
      <c r="C46" s="6">
        <v>37.479999999999997</v>
      </c>
      <c r="D46" s="6">
        <v>32.5</v>
      </c>
      <c r="E46" s="6">
        <v>36.58</v>
      </c>
      <c r="F46" s="6">
        <v>31.75</v>
      </c>
      <c r="G46" s="7">
        <v>13562000</v>
      </c>
      <c r="J46" s="5">
        <v>42461</v>
      </c>
      <c r="K46" s="19">
        <f t="shared" si="3"/>
        <v>9.5961339316534389E-2</v>
      </c>
      <c r="L46" s="19">
        <f t="shared" si="4"/>
        <v>0.13653741125068269</v>
      </c>
      <c r="M46" s="19">
        <f t="shared" si="5"/>
        <v>8.0472103004291848E-2</v>
      </c>
    </row>
    <row r="47" spans="1:13" ht="18" x14ac:dyDescent="0.2">
      <c r="A47" s="5">
        <v>42430</v>
      </c>
      <c r="B47" s="6">
        <v>30</v>
      </c>
      <c r="C47" s="6">
        <v>34.08</v>
      </c>
      <c r="D47" s="6">
        <v>29.63</v>
      </c>
      <c r="E47" s="6">
        <v>33.380000000000003</v>
      </c>
      <c r="F47" s="6">
        <v>28.97</v>
      </c>
      <c r="G47" s="7">
        <v>20950000</v>
      </c>
      <c r="J47" s="5">
        <v>42430</v>
      </c>
      <c r="K47" s="19">
        <f t="shared" si="3"/>
        <v>0.12330360604885614</v>
      </c>
      <c r="L47" s="19">
        <f t="shared" si="4"/>
        <v>0.13868159203980104</v>
      </c>
      <c r="M47" s="19">
        <f t="shared" si="5"/>
        <v>9.0058479532163685E-2</v>
      </c>
    </row>
    <row r="48" spans="1:13" ht="18" x14ac:dyDescent="0.2">
      <c r="A48" s="5">
        <v>42401</v>
      </c>
      <c r="B48" s="6">
        <v>32.450000000000003</v>
      </c>
      <c r="C48" s="6">
        <v>33</v>
      </c>
      <c r="D48" s="6">
        <v>26.6</v>
      </c>
      <c r="E48" s="6">
        <v>29.72</v>
      </c>
      <c r="F48" s="6">
        <v>25.79</v>
      </c>
      <c r="G48" s="7">
        <v>24120400</v>
      </c>
      <c r="J48" s="5">
        <v>42401</v>
      </c>
      <c r="K48" s="19">
        <f t="shared" si="3"/>
        <v>-8.7725504067916529E-2</v>
      </c>
      <c r="L48" s="19">
        <f t="shared" si="4"/>
        <v>-5.9649122807017722E-2</v>
      </c>
      <c r="M48" s="19">
        <f t="shared" si="5"/>
        <v>-5.5248618784530384E-2</v>
      </c>
    </row>
    <row r="49" spans="1:13" ht="18" x14ac:dyDescent="0.2">
      <c r="A49" s="5">
        <v>42370</v>
      </c>
      <c r="B49" s="6">
        <v>34.57</v>
      </c>
      <c r="C49" s="6">
        <v>35.42</v>
      </c>
      <c r="D49" s="6">
        <v>30.5</v>
      </c>
      <c r="E49" s="6">
        <v>32.58</v>
      </c>
      <c r="F49" s="6">
        <v>28.27</v>
      </c>
      <c r="G49" s="7">
        <v>19703100</v>
      </c>
      <c r="J49" s="5">
        <v>42370</v>
      </c>
      <c r="K49" s="19">
        <f t="shared" si="3"/>
        <v>-9.1580976863753258E-2</v>
      </c>
      <c r="L49" s="19">
        <f t="shared" si="4"/>
        <v>-0.1694997571636716</v>
      </c>
      <c r="M49" s="19">
        <f t="shared" si="5"/>
        <v>-0.1196498054474707</v>
      </c>
    </row>
    <row r="50" spans="1:13" ht="18" x14ac:dyDescent="0.2">
      <c r="A50" s="5">
        <v>42339</v>
      </c>
      <c r="B50" s="6">
        <v>38.99</v>
      </c>
      <c r="C50" s="6">
        <v>39.1</v>
      </c>
      <c r="D50" s="6">
        <v>35.200000000000003</v>
      </c>
      <c r="E50" s="6">
        <v>35.86</v>
      </c>
      <c r="F50" s="6">
        <v>31.12</v>
      </c>
      <c r="G50" s="7">
        <v>14750500</v>
      </c>
      <c r="J50" s="5">
        <v>42339</v>
      </c>
      <c r="K50" s="19">
        <f t="shared" si="3"/>
        <v>-7.5460487225192982E-2</v>
      </c>
      <c r="L50" s="19">
        <f t="shared" si="4"/>
        <v>-8.6917960088691834E-2</v>
      </c>
      <c r="M50" s="19">
        <f t="shared" si="5"/>
        <v>-2.3741690408357077E-2</v>
      </c>
    </row>
    <row r="51" spans="1:13" ht="18" x14ac:dyDescent="0.2">
      <c r="A51" s="5">
        <v>42309</v>
      </c>
      <c r="B51" s="6">
        <v>35.78</v>
      </c>
      <c r="C51" s="6">
        <v>39.11</v>
      </c>
      <c r="D51" s="6">
        <v>35.76</v>
      </c>
      <c r="E51" s="6">
        <v>38.79</v>
      </c>
      <c r="F51" s="6">
        <v>33.659999999999997</v>
      </c>
      <c r="G51" s="7">
        <v>12818400</v>
      </c>
      <c r="J51" s="5">
        <v>42309</v>
      </c>
      <c r="K51" s="19">
        <f t="shared" si="3"/>
        <v>8.475668707702208E-2</v>
      </c>
      <c r="L51" s="19">
        <f t="shared" si="4"/>
        <v>4.1570438799076313E-2</v>
      </c>
      <c r="M51" s="19">
        <f t="shared" si="5"/>
        <v>4.880478087649405E-2</v>
      </c>
    </row>
    <row r="52" spans="1:13" ht="18" x14ac:dyDescent="0.2">
      <c r="A52" s="5">
        <v>42278</v>
      </c>
      <c r="B52" s="6">
        <v>30.69</v>
      </c>
      <c r="C52" s="6">
        <v>37.1</v>
      </c>
      <c r="D52" s="6">
        <v>29.12</v>
      </c>
      <c r="E52" s="6">
        <v>35.75</v>
      </c>
      <c r="F52" s="6">
        <v>31.03</v>
      </c>
      <c r="G52" s="7">
        <v>17340300</v>
      </c>
      <c r="J52" s="5">
        <v>42278</v>
      </c>
      <c r="K52" s="19">
        <f t="shared" si="3"/>
        <v>0.16435272045028154</v>
      </c>
      <c r="L52" s="19">
        <f t="shared" si="4"/>
        <v>4.4884169884169871E-2</v>
      </c>
      <c r="M52" s="19">
        <f t="shared" si="5"/>
        <v>3.9999999999999151E-3</v>
      </c>
    </row>
    <row r="53" spans="1:13" ht="18" x14ac:dyDescent="0.2">
      <c r="A53" s="5">
        <v>42248</v>
      </c>
      <c r="B53" s="6">
        <v>29.58</v>
      </c>
      <c r="C53" s="6">
        <v>32.67</v>
      </c>
      <c r="D53" s="6">
        <v>29.26</v>
      </c>
      <c r="E53" s="6">
        <v>30.71</v>
      </c>
      <c r="F53" s="6">
        <v>26.65</v>
      </c>
      <c r="G53" s="7">
        <v>14598800</v>
      </c>
      <c r="J53" s="5">
        <v>42248</v>
      </c>
      <c r="K53" s="19">
        <f t="shared" si="3"/>
        <v>6.040015100037756E-3</v>
      </c>
      <c r="L53" s="19">
        <f t="shared" si="4"/>
        <v>-4.866850321395786E-2</v>
      </c>
      <c r="M53" s="19">
        <f t="shared" si="5"/>
        <v>-2.4390243902439025E-2</v>
      </c>
    </row>
    <row r="54" spans="1:13" ht="18" x14ac:dyDescent="0.2">
      <c r="A54" s="5">
        <v>42217</v>
      </c>
      <c r="B54" s="6">
        <v>33.700000000000003</v>
      </c>
      <c r="C54" s="6">
        <v>34.56</v>
      </c>
      <c r="D54" s="6">
        <v>28.42</v>
      </c>
      <c r="E54" s="6">
        <v>30.52</v>
      </c>
      <c r="F54" s="6">
        <v>26.49</v>
      </c>
      <c r="G54" s="7">
        <v>13393000</v>
      </c>
      <c r="J54" s="5">
        <v>42217</v>
      </c>
      <c r="K54" s="19">
        <f t="shared" si="3"/>
        <v>-9.7752043596730287E-2</v>
      </c>
      <c r="L54" s="19">
        <f t="shared" si="4"/>
        <v>-7.002561912894964E-2</v>
      </c>
      <c r="M54" s="19">
        <f t="shared" si="5"/>
        <v>-8.318425760286223E-2</v>
      </c>
    </row>
    <row r="55" spans="1:13" ht="18" x14ac:dyDescent="0.2">
      <c r="A55" s="5">
        <v>42186</v>
      </c>
      <c r="B55" s="6">
        <v>33.799999999999997</v>
      </c>
      <c r="C55" s="6">
        <v>35.17</v>
      </c>
      <c r="D55" s="6">
        <v>31.95</v>
      </c>
      <c r="E55" s="6">
        <v>33.83</v>
      </c>
      <c r="F55" s="6">
        <v>29.36</v>
      </c>
      <c r="G55" s="7">
        <v>21579800</v>
      </c>
      <c r="J55" s="5">
        <v>42186</v>
      </c>
      <c r="K55" s="19">
        <f t="shared" si="3"/>
        <v>2.0477815699658265E-3</v>
      </c>
      <c r="L55" s="19">
        <f t="shared" si="4"/>
        <v>-1.7617449664429453E-2</v>
      </c>
      <c r="M55" s="19">
        <f t="shared" si="5"/>
        <v>1.5440508628519522E-2</v>
      </c>
    </row>
    <row r="56" spans="1:13" ht="18" x14ac:dyDescent="0.2">
      <c r="A56" s="5">
        <v>42156</v>
      </c>
      <c r="B56" s="6">
        <v>31.49</v>
      </c>
      <c r="C56" s="6">
        <v>34.950000000000003</v>
      </c>
      <c r="D56" s="6">
        <v>31.06</v>
      </c>
      <c r="E56" s="6">
        <v>33.76</v>
      </c>
      <c r="F56" s="6">
        <v>29.3</v>
      </c>
      <c r="G56" s="7">
        <v>11558000</v>
      </c>
      <c r="J56" s="5">
        <v>42156</v>
      </c>
      <c r="K56" s="19">
        <f t="shared" si="3"/>
        <v>7.6809996324880545E-2</v>
      </c>
      <c r="L56" s="19">
        <f t="shared" si="4"/>
        <v>0.10166358595194082</v>
      </c>
      <c r="M56" s="19">
        <f t="shared" si="5"/>
        <v>6.1716489874638437E-2</v>
      </c>
    </row>
    <row r="57" spans="1:13" ht="18" x14ac:dyDescent="0.2">
      <c r="A57" s="5">
        <v>42125</v>
      </c>
      <c r="B57" s="6">
        <v>30.75</v>
      </c>
      <c r="C57" s="6">
        <v>32.89</v>
      </c>
      <c r="D57" s="6">
        <v>30.71</v>
      </c>
      <c r="E57" s="6">
        <v>31.35</v>
      </c>
      <c r="F57" s="6">
        <v>27.21</v>
      </c>
      <c r="G57" s="7">
        <v>9657400</v>
      </c>
      <c r="J57" s="5">
        <v>42125</v>
      </c>
      <c r="K57" s="19">
        <f t="shared" si="3"/>
        <v>1.4163250093179373E-2</v>
      </c>
      <c r="L57" s="19">
        <f t="shared" si="4"/>
        <v>1.8832391713747749E-2</v>
      </c>
      <c r="M57" s="19">
        <f t="shared" si="5"/>
        <v>3.5964035964035905E-2</v>
      </c>
    </row>
    <row r="58" spans="1:13" ht="18" x14ac:dyDescent="0.2">
      <c r="A58" s="5">
        <v>42095</v>
      </c>
      <c r="B58" s="6">
        <v>29.53</v>
      </c>
      <c r="C58" s="6">
        <v>31.58</v>
      </c>
      <c r="D58" s="6">
        <v>28.91</v>
      </c>
      <c r="E58" s="6">
        <v>30.92</v>
      </c>
      <c r="F58" s="6">
        <v>26.83</v>
      </c>
      <c r="G58" s="7">
        <v>9960900</v>
      </c>
      <c r="J58" s="5">
        <v>42095</v>
      </c>
      <c r="K58" s="19">
        <f t="shared" si="3"/>
        <v>4.3157076205287692E-2</v>
      </c>
      <c r="L58" s="19">
        <f t="shared" si="4"/>
        <v>4.9407114624505935E-2</v>
      </c>
      <c r="M58" s="19">
        <f t="shared" si="5"/>
        <v>9.9999999999997877E-4</v>
      </c>
    </row>
    <row r="59" spans="1:13" ht="18" x14ac:dyDescent="0.2">
      <c r="A59" s="5">
        <v>42064</v>
      </c>
      <c r="B59" s="6">
        <v>28.39</v>
      </c>
      <c r="C59" s="6">
        <v>30.41</v>
      </c>
      <c r="D59" s="6">
        <v>27.97</v>
      </c>
      <c r="E59" s="6">
        <v>29.64</v>
      </c>
      <c r="F59" s="6">
        <v>25.72</v>
      </c>
      <c r="G59" s="7">
        <v>12455200</v>
      </c>
      <c r="J59" s="5">
        <v>42064</v>
      </c>
      <c r="K59" s="19">
        <f t="shared" si="3"/>
        <v>4.3831168831168763E-2</v>
      </c>
      <c r="L59" s="19">
        <f t="shared" si="4"/>
        <v>1.1494252873563062E-2</v>
      </c>
      <c r="M59" s="19">
        <f t="shared" si="5"/>
        <v>0</v>
      </c>
    </row>
    <row r="60" spans="1:13" ht="18" x14ac:dyDescent="0.2">
      <c r="A60" s="5">
        <v>42036</v>
      </c>
      <c r="B60" s="6">
        <v>25.84</v>
      </c>
      <c r="C60" s="6">
        <v>29.04</v>
      </c>
      <c r="D60" s="6">
        <v>25.71</v>
      </c>
      <c r="E60" s="6">
        <v>28.39</v>
      </c>
      <c r="F60" s="6">
        <v>24.64</v>
      </c>
      <c r="G60" s="7">
        <v>7113800</v>
      </c>
      <c r="J60" s="5">
        <v>42036</v>
      </c>
      <c r="K60" s="19">
        <f t="shared" si="3"/>
        <v>0.10443747198565674</v>
      </c>
      <c r="L60" s="19">
        <f t="shared" si="4"/>
        <v>0.11600669269380937</v>
      </c>
      <c r="M60" s="19">
        <f t="shared" si="5"/>
        <v>0.10011001100110013</v>
      </c>
    </row>
    <row r="61" spans="1:13" ht="18" x14ac:dyDescent="0.2">
      <c r="A61" s="5">
        <v>42005</v>
      </c>
      <c r="B61" s="6">
        <v>27.88</v>
      </c>
      <c r="C61" s="6">
        <v>27.99</v>
      </c>
      <c r="D61" s="6">
        <v>24.52</v>
      </c>
      <c r="E61" s="6">
        <v>25.71</v>
      </c>
      <c r="F61" s="6">
        <v>22.31</v>
      </c>
      <c r="G61" s="7">
        <v>10883000</v>
      </c>
      <c r="J61" s="5">
        <v>42005</v>
      </c>
      <c r="K61" s="19">
        <f t="shared" si="3"/>
        <v>-7.5424782428512235E-2</v>
      </c>
      <c r="L61" s="19">
        <f t="shared" si="4"/>
        <v>-0.15979381443298971</v>
      </c>
      <c r="M61" s="19">
        <f t="shared" si="5"/>
        <v>-4.012671594508984E-2</v>
      </c>
    </row>
    <row r="62" spans="1:13" ht="18" x14ac:dyDescent="0.2">
      <c r="A62" s="5">
        <v>41974</v>
      </c>
      <c r="B62" s="6">
        <v>26.19</v>
      </c>
      <c r="C62" s="6">
        <v>28.31</v>
      </c>
      <c r="D62" s="6">
        <v>25.51</v>
      </c>
      <c r="E62" s="6">
        <v>27.8</v>
      </c>
      <c r="F62" s="6">
        <v>24.13</v>
      </c>
      <c r="G62" s="7">
        <v>12167300</v>
      </c>
      <c r="J62" s="5"/>
    </row>
    <row r="64" spans="1:13" x14ac:dyDescent="0.2">
      <c r="J64" t="s">
        <v>0</v>
      </c>
      <c r="K64">
        <f>AVERAGE(K2:K61)</f>
        <v>1.569451079982916E-2</v>
      </c>
      <c r="L64">
        <f>AVERAGE(L2:L61)</f>
        <v>1.4662972827384319E-2</v>
      </c>
      <c r="M64">
        <f>AVERAGE(M2:M61)</f>
        <v>7.5824029556209871E-3</v>
      </c>
    </row>
    <row r="66" spans="1:16" ht="18" x14ac:dyDescent="0.2">
      <c r="A66" s="19" t="s">
        <v>7</v>
      </c>
      <c r="B66" s="19" t="s">
        <v>8</v>
      </c>
      <c r="C66" s="19" t="s">
        <v>9</v>
      </c>
      <c r="D66" s="19" t="s">
        <v>10</v>
      </c>
      <c r="E66" s="19" t="s">
        <v>11</v>
      </c>
      <c r="F66" s="19" t="s">
        <v>85</v>
      </c>
      <c r="G66" s="19" t="s">
        <v>13</v>
      </c>
      <c r="J66" s="19" t="s">
        <v>1</v>
      </c>
      <c r="K66">
        <f>_xlfn.STDEV.S(K2:K61)</f>
        <v>8.4380069693251833E-2</v>
      </c>
      <c r="L66">
        <f>_xlfn.STDEV.S(L2:L61)</f>
        <v>8.2720223043229194E-2</v>
      </c>
      <c r="M66">
        <f>_xlfn.STDEV.S(M2:M61)</f>
        <v>6.9679964025933169E-2</v>
      </c>
    </row>
    <row r="67" spans="1:16" ht="18" x14ac:dyDescent="0.2">
      <c r="A67" s="20">
        <v>43800</v>
      </c>
      <c r="B67" s="19">
        <v>50.2</v>
      </c>
      <c r="C67" s="19">
        <v>52.08</v>
      </c>
      <c r="D67" s="19">
        <v>48.03</v>
      </c>
      <c r="E67" s="19">
        <v>51.92</v>
      </c>
      <c r="F67" s="19">
        <v>41.88</v>
      </c>
      <c r="G67" s="21">
        <v>35415500</v>
      </c>
    </row>
    <row r="68" spans="1:16" ht="18" x14ac:dyDescent="0.2">
      <c r="A68" s="20">
        <v>43770</v>
      </c>
      <c r="B68" s="19">
        <v>48.92</v>
      </c>
      <c r="C68" s="19">
        <v>51.55</v>
      </c>
      <c r="D68" s="19">
        <v>48.53</v>
      </c>
      <c r="E68" s="19">
        <v>49.78</v>
      </c>
      <c r="F68" s="19">
        <v>39.880000000000003</v>
      </c>
      <c r="G68" s="21">
        <v>45498100</v>
      </c>
      <c r="J68" t="s">
        <v>2</v>
      </c>
      <c r="K68">
        <f>_xlfn.COVARIANCE.S(K2:K61,K2:K61)</f>
        <v>7.1199961614380435E-3</v>
      </c>
      <c r="L68">
        <f>_xlfn.COVARIANCE.S(L2:L61,L2:L61)</f>
        <v>6.8426353003215876E-3</v>
      </c>
      <c r="M68">
        <f>_xlfn.COVARIANCE.S(M2:M61,M2:M61)</f>
        <v>4.8552973866553412E-3</v>
      </c>
      <c r="N68">
        <f>_xlfn.COVARIANCE.S(K2:K61,L2:L61)</f>
        <v>6.0374630806277231E-3</v>
      </c>
      <c r="O68">
        <f>_xlfn.COVARIANCE.S(K2:K61,M2:M61)</f>
        <v>5.0068974826124081E-3</v>
      </c>
      <c r="P68">
        <f>_xlfn.COVARIANCE.S(L2:L61,M2:M61)</f>
        <v>4.8755474617559573E-3</v>
      </c>
    </row>
    <row r="69" spans="1:16" ht="18" x14ac:dyDescent="0.2">
      <c r="A69" s="20">
        <v>43739</v>
      </c>
      <c r="B69" s="19">
        <v>44.77</v>
      </c>
      <c r="C69" s="19">
        <v>49.6</v>
      </c>
      <c r="D69" s="19">
        <v>41.61</v>
      </c>
      <c r="E69" s="19">
        <v>48.47</v>
      </c>
      <c r="F69" s="19">
        <v>38.83</v>
      </c>
      <c r="G69" s="21">
        <v>46360700</v>
      </c>
      <c r="K69" s="3">
        <v>4.2361111111111113E-2</v>
      </c>
      <c r="L69" s="3">
        <v>8.4722222222222227E-2</v>
      </c>
      <c r="M69" s="3">
        <v>0.12708333333333333</v>
      </c>
      <c r="N69" s="3">
        <v>4.3055555555555555E-2</v>
      </c>
      <c r="O69" s="3">
        <v>4.3749999999999997E-2</v>
      </c>
      <c r="P69" s="3">
        <v>8.5416666666666669E-2</v>
      </c>
    </row>
    <row r="70" spans="1:16" ht="18" x14ac:dyDescent="0.2">
      <c r="A70" s="20">
        <v>43709</v>
      </c>
      <c r="B70" s="19">
        <v>40.78</v>
      </c>
      <c r="C70" s="19">
        <v>45.42</v>
      </c>
      <c r="D70" s="19">
        <v>39.65</v>
      </c>
      <c r="E70" s="19">
        <v>44.52</v>
      </c>
      <c r="F70" s="19">
        <v>35.67</v>
      </c>
      <c r="G70" s="21">
        <v>40024800</v>
      </c>
    </row>
    <row r="71" spans="1:16" ht="18" x14ac:dyDescent="0.2">
      <c r="A71" s="20">
        <v>43678</v>
      </c>
      <c r="B71" s="19">
        <v>44.85</v>
      </c>
      <c r="C71" s="19">
        <v>45.18</v>
      </c>
      <c r="D71" s="19">
        <v>39.11</v>
      </c>
      <c r="E71" s="19">
        <v>41.09</v>
      </c>
      <c r="F71" s="19">
        <v>32.65</v>
      </c>
      <c r="G71" s="21">
        <v>56302700</v>
      </c>
      <c r="J71" t="s">
        <v>24</v>
      </c>
    </row>
    <row r="72" spans="1:16" ht="18" x14ac:dyDescent="0.2">
      <c r="A72" s="20">
        <v>43647</v>
      </c>
      <c r="B72" s="19">
        <v>46.33</v>
      </c>
      <c r="C72" s="19">
        <v>46.81</v>
      </c>
      <c r="D72" s="19">
        <v>41.95</v>
      </c>
      <c r="E72" s="19">
        <v>45.07</v>
      </c>
      <c r="F72" s="19">
        <v>35.81</v>
      </c>
      <c r="G72" s="21">
        <v>52257300</v>
      </c>
      <c r="K72">
        <v>7.1199999999999996E-3</v>
      </c>
      <c r="L72">
        <v>6.0374599999999997E-3</v>
      </c>
      <c r="M72">
        <v>5.0068999999999999E-3</v>
      </c>
    </row>
    <row r="73" spans="1:16" ht="18" x14ac:dyDescent="0.2">
      <c r="A73" s="20">
        <v>43617</v>
      </c>
      <c r="B73" s="19">
        <v>42.93</v>
      </c>
      <c r="C73" s="19">
        <v>46.03</v>
      </c>
      <c r="D73" s="19">
        <v>42.8</v>
      </c>
      <c r="E73" s="19">
        <v>45.98</v>
      </c>
      <c r="F73" s="19">
        <v>36.53</v>
      </c>
      <c r="G73" s="21">
        <v>38930600</v>
      </c>
      <c r="K73">
        <v>6.0374599999999997E-3</v>
      </c>
      <c r="L73">
        <v>6.8426399999999997E-3</v>
      </c>
      <c r="M73">
        <v>4.8755500000000002E-3</v>
      </c>
    </row>
    <row r="74" spans="1:16" ht="18" x14ac:dyDescent="0.2">
      <c r="A74" s="20">
        <v>43586</v>
      </c>
      <c r="B74" s="19">
        <v>49.34</v>
      </c>
      <c r="C74" s="19">
        <v>50.2</v>
      </c>
      <c r="D74" s="19">
        <v>42.94</v>
      </c>
      <c r="E74" s="19">
        <v>43.07</v>
      </c>
      <c r="F74" s="19">
        <v>34</v>
      </c>
      <c r="G74" s="21">
        <v>45383600</v>
      </c>
      <c r="K74">
        <v>5.0068999999999999E-3</v>
      </c>
      <c r="L74">
        <v>4.8755500000000002E-3</v>
      </c>
      <c r="M74">
        <v>4.8552999999999999E-3</v>
      </c>
    </row>
    <row r="75" spans="1:16" ht="18" x14ac:dyDescent="0.2">
      <c r="A75" s="20">
        <v>43556</v>
      </c>
      <c r="B75" s="19">
        <v>45.71</v>
      </c>
      <c r="C75" s="19">
        <v>49.84</v>
      </c>
      <c r="D75" s="19">
        <v>45.71</v>
      </c>
      <c r="E75" s="19">
        <v>49.33</v>
      </c>
      <c r="F75" s="19">
        <v>38.94</v>
      </c>
      <c r="G75" s="21">
        <v>42017200</v>
      </c>
    </row>
    <row r="76" spans="1:16" ht="18" x14ac:dyDescent="0.2">
      <c r="A76" s="20">
        <v>43525</v>
      </c>
      <c r="B76" s="19">
        <v>51.44</v>
      </c>
      <c r="C76" s="19">
        <v>51.81</v>
      </c>
      <c r="D76" s="19">
        <v>43.18</v>
      </c>
      <c r="E76" s="19">
        <v>45.41</v>
      </c>
      <c r="F76" s="19">
        <v>35.85</v>
      </c>
      <c r="G76" s="21">
        <v>54256800</v>
      </c>
      <c r="J76" t="s">
        <v>4</v>
      </c>
    </row>
    <row r="77" spans="1:16" ht="18" x14ac:dyDescent="0.2">
      <c r="A77" s="20">
        <v>43497</v>
      </c>
      <c r="B77" s="19">
        <v>47.8</v>
      </c>
      <c r="C77" s="19">
        <v>51.72</v>
      </c>
      <c r="D77" s="19">
        <v>47.45</v>
      </c>
      <c r="E77" s="19">
        <v>51.1</v>
      </c>
      <c r="F77" s="19">
        <v>40.1</v>
      </c>
      <c r="G77" s="21">
        <v>47058200</v>
      </c>
      <c r="K77" cm="1">
        <f t="array" ref="K77:M79">MINVERSE(K72:M74)</f>
        <v>697.7876216494459</v>
      </c>
      <c r="L77">
        <v>-361.90502633620923</v>
      </c>
      <c r="M77">
        <v>-356.16064747453419</v>
      </c>
      <c r="O77">
        <v>1</v>
      </c>
    </row>
    <row r="78" spans="1:16" ht="18" x14ac:dyDescent="0.2">
      <c r="A78" s="20">
        <v>43466</v>
      </c>
      <c r="B78" s="19">
        <v>40.03</v>
      </c>
      <c r="C78" s="19">
        <v>49.2</v>
      </c>
      <c r="D78" s="19">
        <v>40.03</v>
      </c>
      <c r="E78" s="19">
        <v>47.59</v>
      </c>
      <c r="F78" s="19">
        <v>37.340000000000003</v>
      </c>
      <c r="G78" s="21">
        <v>60578700</v>
      </c>
      <c r="K78">
        <v>-361.90502633620918</v>
      </c>
      <c r="L78">
        <v>701.37591091358195</v>
      </c>
      <c r="M78">
        <v>-331.09613125696637</v>
      </c>
      <c r="O78">
        <v>1</v>
      </c>
    </row>
    <row r="79" spans="1:16" ht="18" x14ac:dyDescent="0.2">
      <c r="A79" s="20">
        <v>43435</v>
      </c>
      <c r="B79" s="19">
        <v>49.17</v>
      </c>
      <c r="C79" s="19">
        <v>49.47</v>
      </c>
      <c r="D79" s="19">
        <v>38.08</v>
      </c>
      <c r="E79" s="19">
        <v>40.74</v>
      </c>
      <c r="F79" s="19">
        <v>31.97</v>
      </c>
      <c r="G79" s="21">
        <v>59432100</v>
      </c>
      <c r="K79">
        <v>-356.16064747453424</v>
      </c>
      <c r="L79">
        <v>-331.09613125696643</v>
      </c>
      <c r="M79">
        <v>905.71879978377194</v>
      </c>
      <c r="O79">
        <v>1</v>
      </c>
    </row>
    <row r="80" spans="1:16" ht="18" x14ac:dyDescent="0.2">
      <c r="A80" s="20">
        <v>43405</v>
      </c>
      <c r="B80" s="19">
        <v>47.22</v>
      </c>
      <c r="C80" s="19">
        <v>50.94</v>
      </c>
      <c r="D80" s="19">
        <v>46.46</v>
      </c>
      <c r="E80" s="19">
        <v>48.66</v>
      </c>
      <c r="F80" s="19">
        <v>37.950000000000003</v>
      </c>
      <c r="G80" s="21">
        <v>52106800</v>
      </c>
    </row>
    <row r="81" spans="1:13" ht="18" x14ac:dyDescent="0.2">
      <c r="A81" s="20">
        <v>43374</v>
      </c>
      <c r="B81" s="19">
        <v>50.39</v>
      </c>
      <c r="C81" s="19">
        <v>52.26</v>
      </c>
      <c r="D81" s="19">
        <v>45.2</v>
      </c>
      <c r="E81" s="19">
        <v>47.05</v>
      </c>
      <c r="F81" s="19">
        <v>36.69</v>
      </c>
      <c r="G81" s="21">
        <v>70414000</v>
      </c>
    </row>
    <row r="82" spans="1:13" ht="18" x14ac:dyDescent="0.2">
      <c r="A82" s="20">
        <v>43344</v>
      </c>
      <c r="B82" s="19">
        <v>53.35</v>
      </c>
      <c r="C82" s="19">
        <v>54.37</v>
      </c>
      <c r="D82" s="19">
        <v>49.79</v>
      </c>
      <c r="E82" s="19">
        <v>50.15</v>
      </c>
      <c r="F82" s="19">
        <v>39.11</v>
      </c>
      <c r="G82" s="21">
        <v>34442400</v>
      </c>
      <c r="K82" cm="1">
        <f t="array" ref="K82:K84">MMULT(MINVERSE(K72:M74),O77:O79)</f>
        <v>-20.278052161297524</v>
      </c>
    </row>
    <row r="83" spans="1:13" ht="18" x14ac:dyDescent="0.2">
      <c r="A83" s="20">
        <v>43313</v>
      </c>
      <c r="B83" s="19">
        <v>51.93</v>
      </c>
      <c r="C83" s="19">
        <v>54.76</v>
      </c>
      <c r="D83" s="19">
        <v>51.93</v>
      </c>
      <c r="E83" s="19">
        <v>53.29</v>
      </c>
      <c r="F83" s="19">
        <v>41.33</v>
      </c>
      <c r="G83" s="21">
        <v>39722900</v>
      </c>
      <c r="K83">
        <v>8.3747533204063984</v>
      </c>
    </row>
    <row r="84" spans="1:13" ht="18" x14ac:dyDescent="0.2">
      <c r="A84" s="20">
        <v>43282</v>
      </c>
      <c r="B84" s="19">
        <v>52.43</v>
      </c>
      <c r="C84" s="19">
        <v>54.99</v>
      </c>
      <c r="D84" s="19">
        <v>50.75</v>
      </c>
      <c r="E84" s="19">
        <v>51.7</v>
      </c>
      <c r="F84" s="19">
        <v>40.1</v>
      </c>
      <c r="G84" s="21">
        <v>53237900</v>
      </c>
      <c r="K84">
        <v>218.46202105227133</v>
      </c>
      <c r="M84" t="s">
        <v>86</v>
      </c>
    </row>
    <row r="85" spans="1:13" ht="18" x14ac:dyDescent="0.2">
      <c r="A85" s="20">
        <v>43252</v>
      </c>
      <c r="B85" s="19">
        <v>55.71</v>
      </c>
      <c r="C85" s="19">
        <v>57.6</v>
      </c>
      <c r="D85" s="19">
        <v>52.65</v>
      </c>
      <c r="E85" s="19">
        <v>52.69</v>
      </c>
      <c r="F85" s="19">
        <v>40.86</v>
      </c>
      <c r="G85" s="21">
        <v>39185500</v>
      </c>
      <c r="M85">
        <f>K82/SUM(_xlfn.ANCHORARRAY(K82))</f>
        <v>-9.8170883050613292E-2</v>
      </c>
    </row>
    <row r="86" spans="1:13" ht="18" x14ac:dyDescent="0.2">
      <c r="A86" s="20">
        <v>43221</v>
      </c>
      <c r="B86" s="19">
        <v>54.56</v>
      </c>
      <c r="C86" s="19">
        <v>59.19</v>
      </c>
      <c r="D86" s="19">
        <v>53.76</v>
      </c>
      <c r="E86" s="19">
        <v>54.81</v>
      </c>
      <c r="F86" s="19">
        <v>42.33</v>
      </c>
      <c r="G86" s="21">
        <v>44232800</v>
      </c>
      <c r="M86">
        <f>K83/SUM(_xlfn.ANCHORARRAY(K82))</f>
        <v>4.0544176642592522E-2</v>
      </c>
    </row>
    <row r="87" spans="1:13" ht="18" x14ac:dyDescent="0.2">
      <c r="A87" s="20">
        <v>43191</v>
      </c>
      <c r="B87" s="19">
        <v>52.64</v>
      </c>
      <c r="C87" s="19">
        <v>56.95</v>
      </c>
      <c r="D87" s="19">
        <v>50.84</v>
      </c>
      <c r="E87" s="19">
        <v>54.75</v>
      </c>
      <c r="F87" s="19">
        <v>42.28</v>
      </c>
      <c r="G87" s="21">
        <v>47762800</v>
      </c>
      <c r="M87">
        <f>K84/SUM(_xlfn.ANCHORARRAY(K82))</f>
        <v>1.0576267064080207</v>
      </c>
    </row>
    <row r="88" spans="1:13" ht="18" x14ac:dyDescent="0.2">
      <c r="A88" s="20">
        <v>43160</v>
      </c>
      <c r="B88" s="19">
        <v>55.11</v>
      </c>
      <c r="C88" s="19">
        <v>57.29</v>
      </c>
      <c r="D88" s="19">
        <v>51.17</v>
      </c>
      <c r="E88" s="19">
        <v>52.73</v>
      </c>
      <c r="F88" s="19">
        <v>40.72</v>
      </c>
      <c r="G88" s="21">
        <v>53087500</v>
      </c>
    </row>
    <row r="89" spans="1:13" ht="18" x14ac:dyDescent="0.2">
      <c r="A89" s="20">
        <v>43132</v>
      </c>
      <c r="B89" s="19">
        <v>53.79</v>
      </c>
      <c r="C89" s="19">
        <v>57.07</v>
      </c>
      <c r="D89" s="19">
        <v>49.76</v>
      </c>
      <c r="E89" s="19">
        <v>54.97</v>
      </c>
      <c r="F89" s="19">
        <v>42.29</v>
      </c>
      <c r="G89" s="21">
        <v>56615800</v>
      </c>
      <c r="K89">
        <f>SUM(K77:K79)</f>
        <v>-20.278052161297524</v>
      </c>
    </row>
    <row r="90" spans="1:13" ht="18" x14ac:dyDescent="0.2">
      <c r="A90" s="20">
        <v>43101</v>
      </c>
      <c r="B90" s="19">
        <v>52.17</v>
      </c>
      <c r="C90" s="19">
        <v>55.02</v>
      </c>
      <c r="D90" s="19">
        <v>50.16</v>
      </c>
      <c r="E90" s="19">
        <v>54.03</v>
      </c>
      <c r="F90" s="19">
        <v>41.57</v>
      </c>
      <c r="G90" s="21">
        <v>43353100</v>
      </c>
      <c r="K90">
        <f>SUM(L77:L79)</f>
        <v>8.3747533204062847</v>
      </c>
    </row>
    <row r="91" spans="1:13" ht="18" x14ac:dyDescent="0.2">
      <c r="A91" s="20">
        <v>43070</v>
      </c>
      <c r="B91" s="19">
        <v>49.52</v>
      </c>
      <c r="C91" s="19">
        <v>52.2</v>
      </c>
      <c r="D91" s="19">
        <v>48.28</v>
      </c>
      <c r="E91" s="19">
        <v>50.83</v>
      </c>
      <c r="F91" s="19">
        <v>39.11</v>
      </c>
      <c r="G91" s="21">
        <v>43203000</v>
      </c>
      <c r="K91">
        <f>SUM(M77:M79)</f>
        <v>218.46202105227133</v>
      </c>
      <c r="M91" t="s">
        <v>86</v>
      </c>
    </row>
    <row r="92" spans="1:13" ht="18" x14ac:dyDescent="0.2">
      <c r="A92" s="20">
        <v>43040</v>
      </c>
      <c r="B92" s="19">
        <v>46.71</v>
      </c>
      <c r="C92" s="19">
        <v>50.51</v>
      </c>
      <c r="D92" s="19">
        <v>43.5</v>
      </c>
      <c r="E92" s="19">
        <v>49.55</v>
      </c>
      <c r="F92" s="19">
        <v>37.99</v>
      </c>
      <c r="G92" s="21">
        <v>47124600</v>
      </c>
      <c r="K92">
        <f>SUM(K89:K91)</f>
        <v>206.55872221138009</v>
      </c>
      <c r="M92">
        <f>1/K92*K89</f>
        <v>-9.8170883050613333E-2</v>
      </c>
    </row>
    <row r="93" spans="1:13" ht="18" x14ac:dyDescent="0.2">
      <c r="A93" s="20">
        <v>43009</v>
      </c>
      <c r="B93" s="19">
        <v>46.65</v>
      </c>
      <c r="C93" s="19">
        <v>48.26</v>
      </c>
      <c r="D93" s="19">
        <v>45.06</v>
      </c>
      <c r="E93" s="19">
        <v>46.46</v>
      </c>
      <c r="F93" s="19">
        <v>35.619999999999997</v>
      </c>
      <c r="G93" s="21">
        <v>43180900</v>
      </c>
      <c r="M93">
        <f>1/K92*K90</f>
        <v>4.0544176642591995E-2</v>
      </c>
    </row>
    <row r="94" spans="1:13" ht="18" x14ac:dyDescent="0.2">
      <c r="A94" s="20">
        <v>42979</v>
      </c>
      <c r="B94" s="19">
        <v>43.69</v>
      </c>
      <c r="C94" s="19">
        <v>47.7</v>
      </c>
      <c r="D94" s="19">
        <v>41.23</v>
      </c>
      <c r="E94" s="19">
        <v>47.18</v>
      </c>
      <c r="F94" s="19">
        <v>36.17</v>
      </c>
      <c r="G94" s="21">
        <v>49992000</v>
      </c>
      <c r="M94">
        <f>1/K92*K91</f>
        <v>1.0576267064080214</v>
      </c>
    </row>
    <row r="95" spans="1:13" ht="18" x14ac:dyDescent="0.2">
      <c r="A95" s="20">
        <v>42948</v>
      </c>
      <c r="B95" s="19">
        <v>45.51</v>
      </c>
      <c r="C95" s="19">
        <v>46.46</v>
      </c>
      <c r="D95" s="19">
        <v>43.26</v>
      </c>
      <c r="E95" s="19">
        <v>43.66</v>
      </c>
      <c r="F95" s="19">
        <v>33.380000000000003</v>
      </c>
      <c r="G95" s="21">
        <v>43166800</v>
      </c>
    </row>
    <row r="96" spans="1:13" ht="18" x14ac:dyDescent="0.2">
      <c r="A96" s="20">
        <v>42917</v>
      </c>
      <c r="B96" s="19">
        <v>44.24</v>
      </c>
      <c r="C96" s="19">
        <v>46.29</v>
      </c>
      <c r="D96" s="19">
        <v>43.36</v>
      </c>
      <c r="E96" s="19">
        <v>45.32</v>
      </c>
      <c r="F96" s="19">
        <v>34.65</v>
      </c>
      <c r="G96" s="21">
        <v>50475300</v>
      </c>
      <c r="J96" t="s">
        <v>20</v>
      </c>
    </row>
    <row r="97" spans="1:15" ht="18" x14ac:dyDescent="0.2">
      <c r="A97" s="20">
        <v>42887</v>
      </c>
      <c r="B97" s="19">
        <v>40.479999999999997</v>
      </c>
      <c r="C97" s="19">
        <v>44.85</v>
      </c>
      <c r="D97" s="19">
        <v>39.619999999999997</v>
      </c>
      <c r="E97" s="19">
        <v>43.91</v>
      </c>
      <c r="F97" s="19">
        <v>33.57</v>
      </c>
      <c r="G97" s="21">
        <v>60045200</v>
      </c>
      <c r="K97">
        <f>(M92)*(K64) + (M93)*(L64) + (M94)*(M64)</f>
        <v>7.0731060407642505E-3</v>
      </c>
    </row>
    <row r="98" spans="1:15" ht="18" x14ac:dyDescent="0.2">
      <c r="A98" s="20">
        <v>42856</v>
      </c>
      <c r="B98" s="19">
        <v>40.25</v>
      </c>
      <c r="C98" s="19">
        <v>41.59</v>
      </c>
      <c r="D98" s="19">
        <v>38.43</v>
      </c>
      <c r="E98" s="19">
        <v>40.07</v>
      </c>
      <c r="F98" s="19">
        <v>30.58</v>
      </c>
      <c r="G98" s="21">
        <v>74334400</v>
      </c>
      <c r="L98">
        <f>M92*K64</f>
        <v>-1.5407439842666164E-3</v>
      </c>
      <c r="N98" t="s">
        <v>87</v>
      </c>
      <c r="O98" cm="1">
        <f t="array" ref="O98">MMULT(TRANSPOSE(M92:M94), MMULT(K72:M74, M92:M94))</f>
        <v>4.8412383137065394E-3</v>
      </c>
    </row>
    <row r="99" spans="1:15" ht="18" x14ac:dyDescent="0.2">
      <c r="A99" s="20">
        <v>42826</v>
      </c>
      <c r="B99" s="19">
        <v>42</v>
      </c>
      <c r="C99" s="19">
        <v>42.42</v>
      </c>
      <c r="D99" s="19">
        <v>39.22</v>
      </c>
      <c r="E99" s="19">
        <v>40.03</v>
      </c>
      <c r="F99" s="19">
        <v>30.55</v>
      </c>
      <c r="G99" s="21">
        <v>56643300</v>
      </c>
      <c r="L99">
        <f>M93*L64</f>
        <v>5.9449816041899639E-4</v>
      </c>
      <c r="N99" t="s">
        <v>88</v>
      </c>
      <c r="O99">
        <f>SQRT(O98)</f>
        <v>6.9579007708550564E-2</v>
      </c>
    </row>
    <row r="100" spans="1:15" ht="18" x14ac:dyDescent="0.2">
      <c r="A100" s="20">
        <v>42795</v>
      </c>
      <c r="B100" s="19">
        <v>48.33</v>
      </c>
      <c r="C100" s="19">
        <v>48.33</v>
      </c>
      <c r="D100" s="19">
        <v>39.090000000000003</v>
      </c>
      <c r="E100" s="19">
        <v>42</v>
      </c>
      <c r="F100" s="19">
        <v>32.049999999999997</v>
      </c>
      <c r="G100" s="21">
        <v>62564000</v>
      </c>
      <c r="L100">
        <f>M94*M64</f>
        <v>8.0193518646118709E-3</v>
      </c>
    </row>
    <row r="101" spans="1:15" ht="18" x14ac:dyDescent="0.2">
      <c r="A101" s="20">
        <v>42767</v>
      </c>
      <c r="B101" s="19">
        <v>42.69</v>
      </c>
      <c r="C101" s="19">
        <v>45.52</v>
      </c>
      <c r="D101" s="19">
        <v>41.58</v>
      </c>
      <c r="E101" s="19">
        <v>44.9</v>
      </c>
      <c r="F101" s="19">
        <v>34.200000000000003</v>
      </c>
      <c r="G101" s="21">
        <v>42909500</v>
      </c>
      <c r="L101">
        <f>SUM(L98:L100)</f>
        <v>7.0731060407642505E-3</v>
      </c>
    </row>
    <row r="102" spans="1:15" ht="18" x14ac:dyDescent="0.2">
      <c r="A102" s="20">
        <v>42736</v>
      </c>
      <c r="B102" s="19">
        <v>43.74</v>
      </c>
      <c r="C102" s="19">
        <v>44.33</v>
      </c>
      <c r="D102" s="19">
        <v>41.36</v>
      </c>
      <c r="E102" s="19">
        <v>42.19</v>
      </c>
      <c r="F102" s="19">
        <v>32.14</v>
      </c>
      <c r="G102" s="21">
        <v>49798600</v>
      </c>
    </row>
    <row r="103" spans="1:15" ht="18" x14ac:dyDescent="0.2">
      <c r="A103" s="20">
        <v>42705</v>
      </c>
      <c r="B103" s="19">
        <v>39.82</v>
      </c>
      <c r="C103" s="19">
        <v>44.15</v>
      </c>
      <c r="D103" s="19">
        <v>39.67</v>
      </c>
      <c r="E103" s="19">
        <v>43.04</v>
      </c>
      <c r="F103" s="19">
        <v>32.78</v>
      </c>
      <c r="G103" s="21">
        <v>58046400</v>
      </c>
    </row>
    <row r="104" spans="1:15" ht="18" x14ac:dyDescent="0.2">
      <c r="A104" s="20">
        <v>42675</v>
      </c>
      <c r="B104" s="19">
        <v>32.36</v>
      </c>
      <c r="C104" s="19">
        <v>40</v>
      </c>
      <c r="D104" s="19">
        <v>30.85</v>
      </c>
      <c r="E104" s="19">
        <v>39.79</v>
      </c>
      <c r="F104" s="19">
        <v>30.24</v>
      </c>
      <c r="G104" s="21">
        <v>80209800</v>
      </c>
    </row>
    <row r="105" spans="1:15" ht="18" x14ac:dyDescent="0.2">
      <c r="A105" s="20">
        <v>42644</v>
      </c>
      <c r="B105" s="19">
        <v>30.8</v>
      </c>
      <c r="C105" s="19">
        <v>32.72</v>
      </c>
      <c r="D105" s="19">
        <v>30.07</v>
      </c>
      <c r="E105" s="19">
        <v>32.21</v>
      </c>
      <c r="F105" s="19">
        <v>24.48</v>
      </c>
      <c r="G105" s="21">
        <v>61444700</v>
      </c>
    </row>
    <row r="106" spans="1:15" ht="18" x14ac:dyDescent="0.2">
      <c r="A106" s="20">
        <v>42614</v>
      </c>
      <c r="B106" s="19">
        <v>30.75</v>
      </c>
      <c r="C106" s="19">
        <v>31.35</v>
      </c>
      <c r="D106" s="19">
        <v>29.63</v>
      </c>
      <c r="E106" s="19">
        <v>31.02</v>
      </c>
      <c r="F106" s="19">
        <v>23.58</v>
      </c>
      <c r="G106" s="21">
        <v>66853500</v>
      </c>
    </row>
    <row r="107" spans="1:15" ht="18" x14ac:dyDescent="0.2">
      <c r="A107" s="20">
        <v>42583</v>
      </c>
      <c r="B107" s="19">
        <v>27.9</v>
      </c>
      <c r="C107" s="19">
        <v>30.62</v>
      </c>
      <c r="D107" s="19">
        <v>26.74</v>
      </c>
      <c r="E107" s="19">
        <v>30.59</v>
      </c>
      <c r="F107" s="19">
        <v>23.19</v>
      </c>
      <c r="G107" s="21">
        <v>56293500</v>
      </c>
    </row>
    <row r="108" spans="1:15" ht="18" x14ac:dyDescent="0.2">
      <c r="A108" s="20">
        <v>42552</v>
      </c>
      <c r="B108" s="19">
        <v>24.93</v>
      </c>
      <c r="C108" s="19">
        <v>28.38</v>
      </c>
      <c r="D108" s="19">
        <v>23.02</v>
      </c>
      <c r="E108" s="19">
        <v>27.88</v>
      </c>
      <c r="F108" s="19">
        <v>21.13</v>
      </c>
      <c r="G108" s="21">
        <v>76200400</v>
      </c>
    </row>
    <row r="109" spans="1:15" ht="18" x14ac:dyDescent="0.2">
      <c r="A109" s="20">
        <v>42522</v>
      </c>
      <c r="B109" s="19">
        <v>27.77</v>
      </c>
      <c r="C109" s="19">
        <v>29.46</v>
      </c>
      <c r="D109" s="19">
        <v>23.34</v>
      </c>
      <c r="E109" s="19">
        <v>25.13</v>
      </c>
      <c r="F109" s="19">
        <v>19.05</v>
      </c>
      <c r="G109" s="21">
        <v>83825900</v>
      </c>
    </row>
    <row r="110" spans="1:15" ht="18" x14ac:dyDescent="0.2">
      <c r="A110" s="20">
        <v>42491</v>
      </c>
      <c r="B110" s="19">
        <v>27.71</v>
      </c>
      <c r="C110" s="19">
        <v>28.48</v>
      </c>
      <c r="D110" s="19">
        <v>25.53</v>
      </c>
      <c r="E110" s="19">
        <v>28.02</v>
      </c>
      <c r="F110" s="19">
        <v>21.19</v>
      </c>
      <c r="G110" s="21">
        <v>58288000</v>
      </c>
    </row>
    <row r="111" spans="1:15" ht="18" x14ac:dyDescent="0.2">
      <c r="A111" s="20">
        <v>42461</v>
      </c>
      <c r="B111" s="19">
        <v>24</v>
      </c>
      <c r="C111" s="19">
        <v>27.87</v>
      </c>
      <c r="D111" s="19">
        <v>23.14</v>
      </c>
      <c r="E111" s="19">
        <v>27.52</v>
      </c>
      <c r="F111" s="19">
        <v>20.81</v>
      </c>
      <c r="G111" s="21">
        <v>61404400</v>
      </c>
    </row>
    <row r="112" spans="1:15" ht="18" x14ac:dyDescent="0.2">
      <c r="A112" s="20">
        <v>42430</v>
      </c>
      <c r="B112" s="19">
        <v>21.46</v>
      </c>
      <c r="C112" s="19">
        <v>25.6</v>
      </c>
      <c r="D112" s="19">
        <v>21.4</v>
      </c>
      <c r="E112" s="19">
        <v>24.21</v>
      </c>
      <c r="F112" s="19">
        <v>18.309999999999999</v>
      </c>
      <c r="G112" s="21">
        <v>72009500</v>
      </c>
    </row>
    <row r="113" spans="1:7" ht="18" x14ac:dyDescent="0.2">
      <c r="A113" s="20">
        <v>42401</v>
      </c>
      <c r="B113" s="19">
        <v>22.55</v>
      </c>
      <c r="C113" s="19">
        <v>22.65</v>
      </c>
      <c r="D113" s="19">
        <v>19.649999999999999</v>
      </c>
      <c r="E113" s="19">
        <v>21.32</v>
      </c>
      <c r="F113" s="19">
        <v>16.079999999999998</v>
      </c>
      <c r="G113" s="21">
        <v>81481500</v>
      </c>
    </row>
    <row r="114" spans="1:7" ht="18" x14ac:dyDescent="0.2">
      <c r="A114" s="20">
        <v>42370</v>
      </c>
      <c r="B114" s="19">
        <v>26.56</v>
      </c>
      <c r="C114" s="19">
        <v>26.91</v>
      </c>
      <c r="D114" s="19">
        <v>20.329999999999998</v>
      </c>
      <c r="E114" s="19">
        <v>22.68</v>
      </c>
      <c r="F114" s="19">
        <v>17.100000000000001</v>
      </c>
      <c r="G114" s="21">
        <v>91558500</v>
      </c>
    </row>
    <row r="115" spans="1:7" ht="18" x14ac:dyDescent="0.2">
      <c r="A115" s="20">
        <v>42339</v>
      </c>
      <c r="B115" s="19">
        <v>30.11</v>
      </c>
      <c r="C115" s="19">
        <v>30.55</v>
      </c>
      <c r="D115" s="19">
        <v>26.43</v>
      </c>
      <c r="E115" s="19">
        <v>27.3</v>
      </c>
      <c r="F115" s="19">
        <v>20.59</v>
      </c>
      <c r="G115" s="21">
        <v>73992700</v>
      </c>
    </row>
    <row r="116" spans="1:7" ht="18" x14ac:dyDescent="0.2">
      <c r="A116" s="20">
        <v>42309</v>
      </c>
      <c r="B116" s="19">
        <v>28.93</v>
      </c>
      <c r="C116" s="19">
        <v>31.18</v>
      </c>
      <c r="D116" s="19">
        <v>28.78</v>
      </c>
      <c r="E116" s="19">
        <v>29.96</v>
      </c>
      <c r="F116" s="19">
        <v>22.55</v>
      </c>
      <c r="G116" s="21">
        <v>42239800</v>
      </c>
    </row>
    <row r="117" spans="1:7" ht="18" x14ac:dyDescent="0.2">
      <c r="A117" s="20">
        <v>42278</v>
      </c>
      <c r="B117" s="19">
        <v>27.62</v>
      </c>
      <c r="C117" s="19">
        <v>29.74</v>
      </c>
      <c r="D117" s="19">
        <v>26.22</v>
      </c>
      <c r="E117" s="19">
        <v>28.77</v>
      </c>
      <c r="F117" s="19">
        <v>21.65</v>
      </c>
      <c r="G117" s="21">
        <v>50821300</v>
      </c>
    </row>
    <row r="118" spans="1:7" ht="18" x14ac:dyDescent="0.2">
      <c r="A118" s="20">
        <v>42248</v>
      </c>
      <c r="B118" s="19">
        <v>28.23</v>
      </c>
      <c r="C118" s="19">
        <v>29.42</v>
      </c>
      <c r="D118" s="19">
        <v>27.11</v>
      </c>
      <c r="E118" s="19">
        <v>27.54</v>
      </c>
      <c r="F118" s="19">
        <v>20.72</v>
      </c>
      <c r="G118" s="21">
        <v>56967900</v>
      </c>
    </row>
    <row r="119" spans="1:7" ht="18" x14ac:dyDescent="0.2">
      <c r="A119" s="20">
        <v>42217</v>
      </c>
      <c r="B119" s="19">
        <v>31.25</v>
      </c>
      <c r="C119" s="19">
        <v>31.64</v>
      </c>
      <c r="D119" s="19">
        <v>26.42</v>
      </c>
      <c r="E119" s="19">
        <v>29</v>
      </c>
      <c r="F119" s="19">
        <v>21.78</v>
      </c>
      <c r="G119" s="21">
        <v>62924800</v>
      </c>
    </row>
    <row r="120" spans="1:7" ht="18" x14ac:dyDescent="0.2">
      <c r="A120" s="20">
        <v>42186</v>
      </c>
      <c r="B120" s="19">
        <v>32.03</v>
      </c>
      <c r="C120" s="19">
        <v>32.42</v>
      </c>
      <c r="D120" s="19">
        <v>29.65</v>
      </c>
      <c r="E120" s="19">
        <v>31.19</v>
      </c>
      <c r="F120" s="19">
        <v>23.42</v>
      </c>
      <c r="G120" s="21">
        <v>75867500</v>
      </c>
    </row>
    <row r="121" spans="1:7" ht="18" x14ac:dyDescent="0.2">
      <c r="A121" s="20">
        <v>42156</v>
      </c>
      <c r="B121" s="19">
        <v>29.04</v>
      </c>
      <c r="C121" s="19">
        <v>33.03</v>
      </c>
      <c r="D121" s="19">
        <v>28.3</v>
      </c>
      <c r="E121" s="19">
        <v>31.74</v>
      </c>
      <c r="F121" s="19">
        <v>23.84</v>
      </c>
      <c r="G121" s="21">
        <v>76499900</v>
      </c>
    </row>
    <row r="122" spans="1:7" ht="18" x14ac:dyDescent="0.2">
      <c r="A122" s="20">
        <v>42125</v>
      </c>
      <c r="B122" s="19">
        <v>28.52</v>
      </c>
      <c r="C122" s="19">
        <v>29.52</v>
      </c>
      <c r="D122" s="19">
        <v>28.2</v>
      </c>
      <c r="E122" s="19">
        <v>28.88</v>
      </c>
      <c r="F122" s="19">
        <v>21.64</v>
      </c>
      <c r="G122" s="21">
        <v>34356900</v>
      </c>
    </row>
    <row r="123" spans="1:7" ht="18" x14ac:dyDescent="0.2">
      <c r="A123" s="20">
        <v>42095</v>
      </c>
      <c r="B123" s="19">
        <v>27.01</v>
      </c>
      <c r="C123" s="19">
        <v>28.65</v>
      </c>
      <c r="D123" s="19">
        <v>26.2</v>
      </c>
      <c r="E123" s="19">
        <v>28.34</v>
      </c>
      <c r="F123" s="19">
        <v>21.24</v>
      </c>
      <c r="G123" s="21">
        <v>39530900</v>
      </c>
    </row>
    <row r="124" spans="1:7" ht="18" x14ac:dyDescent="0.2">
      <c r="A124" s="20">
        <v>42064</v>
      </c>
      <c r="B124" s="19">
        <v>26.67</v>
      </c>
      <c r="C124" s="19">
        <v>28.12</v>
      </c>
      <c r="D124" s="19">
        <v>26.14</v>
      </c>
      <c r="E124" s="19">
        <v>27</v>
      </c>
      <c r="F124" s="19">
        <v>20.239999999999998</v>
      </c>
      <c r="G124" s="21">
        <v>61632300</v>
      </c>
    </row>
    <row r="125" spans="1:7" ht="18" x14ac:dyDescent="0.2">
      <c r="A125" s="20">
        <v>42036</v>
      </c>
      <c r="B125" s="19">
        <v>24.12</v>
      </c>
      <c r="C125" s="19">
        <v>26.95</v>
      </c>
      <c r="D125" s="19">
        <v>23.9</v>
      </c>
      <c r="E125" s="19">
        <v>26.74</v>
      </c>
      <c r="F125" s="19">
        <v>20.010000000000002</v>
      </c>
      <c r="G125" s="21">
        <v>42582000</v>
      </c>
    </row>
    <row r="126" spans="1:7" ht="18" x14ac:dyDescent="0.2">
      <c r="A126" s="20">
        <v>42005</v>
      </c>
      <c r="B126" s="19">
        <v>28.67</v>
      </c>
      <c r="C126" s="19">
        <v>28.72</v>
      </c>
      <c r="D126" s="19">
        <v>23.72</v>
      </c>
      <c r="E126" s="19">
        <v>23.96</v>
      </c>
      <c r="F126" s="19">
        <v>17.93</v>
      </c>
      <c r="G126" s="21">
        <v>65287600</v>
      </c>
    </row>
    <row r="127" spans="1:7" ht="18" x14ac:dyDescent="0.2">
      <c r="A127" s="20">
        <v>41974</v>
      </c>
      <c r="B127" s="19">
        <v>27.91</v>
      </c>
      <c r="C127" s="19">
        <v>29</v>
      </c>
      <c r="D127" s="19">
        <v>26.49</v>
      </c>
      <c r="E127" s="19">
        <v>28.51</v>
      </c>
      <c r="F127" s="19">
        <v>21.34</v>
      </c>
      <c r="G127" s="21">
        <v>61761200</v>
      </c>
    </row>
    <row r="131" spans="1:7" x14ac:dyDescent="0.2">
      <c r="A131" s="4" t="s">
        <v>7</v>
      </c>
      <c r="B131" s="4" t="s">
        <v>8</v>
      </c>
      <c r="C131" s="4" t="s">
        <v>9</v>
      </c>
      <c r="D131" s="4" t="s">
        <v>10</v>
      </c>
      <c r="E131" s="4" t="s">
        <v>11</v>
      </c>
      <c r="F131" s="4" t="s">
        <v>12</v>
      </c>
      <c r="G131" s="4" t="s">
        <v>13</v>
      </c>
    </row>
    <row r="132" spans="1:7" ht="18" x14ac:dyDescent="0.2">
      <c r="A132" s="20">
        <v>43800</v>
      </c>
      <c r="B132" s="19">
        <v>16.16</v>
      </c>
      <c r="C132" s="19">
        <v>16.88</v>
      </c>
      <c r="D132" s="19">
        <v>15.59</v>
      </c>
      <c r="E132" s="19">
        <v>16.559999999999999</v>
      </c>
      <c r="F132" s="19">
        <v>12.93</v>
      </c>
      <c r="G132" s="21">
        <v>72094400</v>
      </c>
    </row>
    <row r="133" spans="1:7" ht="18" x14ac:dyDescent="0.2">
      <c r="A133" s="20">
        <v>43770</v>
      </c>
      <c r="B133" s="19">
        <v>16.13</v>
      </c>
      <c r="C133" s="19">
        <v>17.420000000000002</v>
      </c>
      <c r="D133" s="19">
        <v>15.97</v>
      </c>
      <c r="E133" s="19">
        <v>16.079999999999998</v>
      </c>
      <c r="F133" s="19">
        <v>12.56</v>
      </c>
      <c r="G133" s="21">
        <v>84882400</v>
      </c>
    </row>
    <row r="134" spans="1:7" ht="18" x14ac:dyDescent="0.2">
      <c r="A134" s="20">
        <v>43739</v>
      </c>
      <c r="B134" s="19">
        <v>16.34</v>
      </c>
      <c r="C134" s="19">
        <v>16.43</v>
      </c>
      <c r="D134" s="19">
        <v>15.28</v>
      </c>
      <c r="E134" s="19">
        <v>15.97</v>
      </c>
      <c r="F134" s="19">
        <v>12.47</v>
      </c>
      <c r="G134" s="21">
        <v>61914900</v>
      </c>
    </row>
    <row r="135" spans="1:7" ht="18" x14ac:dyDescent="0.2">
      <c r="A135" s="20">
        <v>43709</v>
      </c>
      <c r="B135" s="19">
        <v>15.69</v>
      </c>
      <c r="C135" s="19">
        <v>16.7</v>
      </c>
      <c r="D135" s="19">
        <v>15.37</v>
      </c>
      <c r="E135" s="19">
        <v>16.2</v>
      </c>
      <c r="F135" s="19">
        <v>12.54</v>
      </c>
      <c r="G135" s="21">
        <v>61781300</v>
      </c>
    </row>
    <row r="136" spans="1:7" ht="18" x14ac:dyDescent="0.2">
      <c r="A136" s="20">
        <v>43678</v>
      </c>
      <c r="B136" s="19">
        <v>16.37</v>
      </c>
      <c r="C136" s="19">
        <v>16.55</v>
      </c>
      <c r="D136" s="19">
        <v>15.21</v>
      </c>
      <c r="E136" s="19">
        <v>15.83</v>
      </c>
      <c r="F136" s="19">
        <v>12.26</v>
      </c>
      <c r="G136" s="21">
        <v>66187200</v>
      </c>
    </row>
    <row r="137" spans="1:7" ht="18" x14ac:dyDescent="0.2">
      <c r="A137" s="20">
        <v>43647</v>
      </c>
      <c r="B137" s="19">
        <v>15.06</v>
      </c>
      <c r="C137" s="19">
        <v>16.760000000000002</v>
      </c>
      <c r="D137" s="19">
        <v>14.53</v>
      </c>
      <c r="E137" s="19">
        <v>16.399999999999999</v>
      </c>
      <c r="F137" s="19">
        <v>12.7</v>
      </c>
      <c r="G137" s="21">
        <v>95868900</v>
      </c>
    </row>
    <row r="138" spans="1:7" ht="18" x14ac:dyDescent="0.2">
      <c r="A138" s="20">
        <v>43617</v>
      </c>
      <c r="B138" s="19">
        <v>13.35</v>
      </c>
      <c r="C138" s="19">
        <v>15.06</v>
      </c>
      <c r="D138" s="19">
        <v>13.34</v>
      </c>
      <c r="E138" s="19">
        <v>14.93</v>
      </c>
      <c r="F138" s="19">
        <v>11.45</v>
      </c>
      <c r="G138" s="21">
        <v>64667900</v>
      </c>
    </row>
    <row r="139" spans="1:7" ht="18" x14ac:dyDescent="0.2">
      <c r="A139" s="20">
        <v>43586</v>
      </c>
      <c r="B139" s="19">
        <v>15.1</v>
      </c>
      <c r="C139" s="19">
        <v>15.35</v>
      </c>
      <c r="D139" s="19">
        <v>13.36</v>
      </c>
      <c r="E139" s="19">
        <v>13.41</v>
      </c>
      <c r="F139" s="19">
        <v>10.28</v>
      </c>
      <c r="G139" s="21">
        <v>56663400</v>
      </c>
    </row>
    <row r="140" spans="1:7" ht="18" x14ac:dyDescent="0.2">
      <c r="A140" s="20">
        <v>43556</v>
      </c>
      <c r="B140" s="19">
        <v>14.08</v>
      </c>
      <c r="C140" s="19">
        <v>15.23</v>
      </c>
      <c r="D140" s="19">
        <v>13.83</v>
      </c>
      <c r="E140" s="19">
        <v>15.09</v>
      </c>
      <c r="F140" s="19">
        <v>11.57</v>
      </c>
      <c r="G140" s="21">
        <v>69361800</v>
      </c>
    </row>
    <row r="141" spans="1:7" ht="18" x14ac:dyDescent="0.2">
      <c r="A141" s="20">
        <v>43525</v>
      </c>
      <c r="B141" s="19">
        <v>15.75</v>
      </c>
      <c r="C141" s="19">
        <v>15.83</v>
      </c>
      <c r="D141" s="19">
        <v>13.3</v>
      </c>
      <c r="E141" s="19">
        <v>13.98</v>
      </c>
      <c r="F141" s="19">
        <v>10.62</v>
      </c>
      <c r="G141" s="21">
        <v>62855800</v>
      </c>
    </row>
    <row r="142" spans="1:7" ht="18" x14ac:dyDescent="0.2">
      <c r="A142" s="20">
        <v>43497</v>
      </c>
      <c r="B142" s="19">
        <v>14.71</v>
      </c>
      <c r="C142" s="19">
        <v>15.93</v>
      </c>
      <c r="D142" s="19">
        <v>14.67</v>
      </c>
      <c r="E142" s="19">
        <v>15.63</v>
      </c>
      <c r="F142" s="19">
        <v>11.87</v>
      </c>
      <c r="G142" s="21">
        <v>49802500</v>
      </c>
    </row>
    <row r="143" spans="1:7" ht="18" x14ac:dyDescent="0.2">
      <c r="A143" s="20">
        <v>43466</v>
      </c>
      <c r="B143" s="19">
        <v>13</v>
      </c>
      <c r="C143" s="19">
        <v>15.04</v>
      </c>
      <c r="D143" s="19">
        <v>12.96</v>
      </c>
      <c r="E143" s="19">
        <v>14.68</v>
      </c>
      <c r="F143" s="19">
        <v>11.15</v>
      </c>
      <c r="G143" s="21">
        <v>78762700</v>
      </c>
    </row>
    <row r="144" spans="1:7" ht="18" x14ac:dyDescent="0.2">
      <c r="A144" s="20">
        <v>43435</v>
      </c>
      <c r="B144" s="19">
        <v>16.73</v>
      </c>
      <c r="C144" s="19">
        <v>16.760000000000002</v>
      </c>
      <c r="D144" s="19">
        <v>12.3</v>
      </c>
      <c r="E144" s="19">
        <v>13.16</v>
      </c>
      <c r="F144" s="19">
        <v>9.91</v>
      </c>
      <c r="G144" s="21">
        <v>87170300</v>
      </c>
    </row>
    <row r="145" spans="1:7" ht="18" x14ac:dyDescent="0.2">
      <c r="A145" s="20">
        <v>43405</v>
      </c>
      <c r="B145" s="19">
        <v>16.309999999999999</v>
      </c>
      <c r="C145" s="19">
        <v>16.850000000000001</v>
      </c>
      <c r="D145" s="19">
        <v>15.85</v>
      </c>
      <c r="E145" s="19">
        <v>16.489999999999998</v>
      </c>
      <c r="F145" s="19">
        <v>12.42</v>
      </c>
      <c r="G145" s="21">
        <v>63416900</v>
      </c>
    </row>
    <row r="146" spans="1:7" ht="18" x14ac:dyDescent="0.2">
      <c r="A146" s="20">
        <v>43374</v>
      </c>
      <c r="B146" s="19">
        <v>17.34</v>
      </c>
      <c r="C146" s="19">
        <v>17.8</v>
      </c>
      <c r="D146" s="19">
        <v>14.94</v>
      </c>
      <c r="E146" s="19">
        <v>16.14</v>
      </c>
      <c r="F146" s="19">
        <v>12.16</v>
      </c>
      <c r="G146" s="21">
        <v>104271300</v>
      </c>
    </row>
    <row r="147" spans="1:7" ht="18" x14ac:dyDescent="0.2">
      <c r="A147" s="20">
        <v>43344</v>
      </c>
      <c r="B147" s="19">
        <v>18.440000000000001</v>
      </c>
      <c r="C147" s="19">
        <v>18.66</v>
      </c>
      <c r="D147" s="19">
        <v>17.12</v>
      </c>
      <c r="E147" s="19">
        <v>17.260000000000002</v>
      </c>
      <c r="F147" s="19">
        <v>12.92</v>
      </c>
      <c r="G147" s="21">
        <v>49767700</v>
      </c>
    </row>
    <row r="148" spans="1:7" ht="18" x14ac:dyDescent="0.2">
      <c r="A148" s="20">
        <v>43313</v>
      </c>
      <c r="B148" s="19">
        <v>17.98</v>
      </c>
      <c r="C148" s="19">
        <v>19.010000000000002</v>
      </c>
      <c r="D148" s="19">
        <v>17.899999999999999</v>
      </c>
      <c r="E148" s="19">
        <v>18.420000000000002</v>
      </c>
      <c r="F148" s="19">
        <v>13.79</v>
      </c>
      <c r="G148" s="21">
        <v>55644800</v>
      </c>
    </row>
    <row r="149" spans="1:7" ht="18" x14ac:dyDescent="0.2">
      <c r="A149" s="20">
        <v>43282</v>
      </c>
      <c r="B149" s="19">
        <v>17.670000000000002</v>
      </c>
      <c r="C149" s="19">
        <v>18.29</v>
      </c>
      <c r="D149" s="19">
        <v>16.510000000000002</v>
      </c>
      <c r="E149" s="19">
        <v>17.89</v>
      </c>
      <c r="F149" s="19">
        <v>13.39</v>
      </c>
      <c r="G149" s="21">
        <v>107602200</v>
      </c>
    </row>
    <row r="150" spans="1:7" ht="18" x14ac:dyDescent="0.2">
      <c r="A150" s="20">
        <v>43252</v>
      </c>
      <c r="B150" s="19">
        <v>18.82</v>
      </c>
      <c r="C150" s="19">
        <v>19.43</v>
      </c>
      <c r="D150" s="19">
        <v>17.829999999999998</v>
      </c>
      <c r="E150" s="19">
        <v>17.84</v>
      </c>
      <c r="F150" s="19">
        <v>13.27</v>
      </c>
      <c r="G150" s="21">
        <v>72473400</v>
      </c>
    </row>
    <row r="151" spans="1:7" ht="18" x14ac:dyDescent="0.2">
      <c r="A151" s="20">
        <v>43221</v>
      </c>
      <c r="B151" s="19">
        <v>18.25</v>
      </c>
      <c r="C151" s="19">
        <v>19.75</v>
      </c>
      <c r="D151" s="19">
        <v>17.98</v>
      </c>
      <c r="E151" s="19">
        <v>18.54</v>
      </c>
      <c r="F151" s="19">
        <v>13.79</v>
      </c>
      <c r="G151" s="21">
        <v>76833700</v>
      </c>
    </row>
    <row r="152" spans="1:7" ht="18" x14ac:dyDescent="0.2">
      <c r="A152" s="20">
        <v>43191</v>
      </c>
      <c r="B152" s="19">
        <v>18.7</v>
      </c>
      <c r="C152" s="19">
        <v>19.489999999999998</v>
      </c>
      <c r="D152" s="19">
        <v>18.22</v>
      </c>
      <c r="E152" s="19">
        <v>18.3</v>
      </c>
      <c r="F152" s="19">
        <v>13.61</v>
      </c>
      <c r="G152" s="21">
        <v>79665500</v>
      </c>
    </row>
    <row r="153" spans="1:7" ht="18" x14ac:dyDescent="0.2">
      <c r="A153" s="20">
        <v>43160</v>
      </c>
      <c r="B153" s="19">
        <v>19.07</v>
      </c>
      <c r="C153" s="19">
        <v>20.53</v>
      </c>
      <c r="D153" s="19">
        <v>18.2</v>
      </c>
      <c r="E153" s="19">
        <v>18.829999999999998</v>
      </c>
      <c r="F153" s="19">
        <v>13.92</v>
      </c>
      <c r="G153" s="21">
        <v>64666700</v>
      </c>
    </row>
    <row r="154" spans="1:7" ht="18" x14ac:dyDescent="0.2">
      <c r="A154" s="20">
        <v>43132</v>
      </c>
      <c r="B154" s="19">
        <v>19.8</v>
      </c>
      <c r="C154" s="19">
        <v>20.29</v>
      </c>
      <c r="D154" s="19">
        <v>18.309999999999999</v>
      </c>
      <c r="E154" s="19">
        <v>19.05</v>
      </c>
      <c r="F154" s="19">
        <v>14.08</v>
      </c>
      <c r="G154" s="21">
        <v>60567800</v>
      </c>
    </row>
    <row r="155" spans="1:7" ht="18" x14ac:dyDescent="0.2">
      <c r="A155" s="20">
        <v>43101</v>
      </c>
      <c r="B155" s="19">
        <v>20.2</v>
      </c>
      <c r="C155" s="19">
        <v>20.75</v>
      </c>
      <c r="D155" s="19">
        <v>19.760000000000002</v>
      </c>
      <c r="E155" s="19">
        <v>19.86</v>
      </c>
      <c r="F155" s="19">
        <v>14.68</v>
      </c>
      <c r="G155" s="21">
        <v>76273900</v>
      </c>
    </row>
    <row r="156" spans="1:7" ht="18" x14ac:dyDescent="0.2">
      <c r="A156" s="20">
        <v>43070</v>
      </c>
      <c r="B156" s="19">
        <v>19.3</v>
      </c>
      <c r="C156" s="19">
        <v>20.86</v>
      </c>
      <c r="D156" s="19">
        <v>18.68</v>
      </c>
      <c r="E156" s="19">
        <v>19.989999999999998</v>
      </c>
      <c r="F156" s="19">
        <v>14.78</v>
      </c>
      <c r="G156" s="21">
        <v>126363600</v>
      </c>
    </row>
    <row r="157" spans="1:7" ht="18" x14ac:dyDescent="0.2">
      <c r="A157" s="20">
        <v>43040</v>
      </c>
      <c r="B157" s="19">
        <v>18.89</v>
      </c>
      <c r="C157" s="19">
        <v>19.98</v>
      </c>
      <c r="D157" s="19">
        <v>17.84</v>
      </c>
      <c r="E157" s="19">
        <v>19.39</v>
      </c>
      <c r="F157" s="19">
        <v>14.26</v>
      </c>
      <c r="G157" s="21">
        <v>59693500</v>
      </c>
    </row>
    <row r="158" spans="1:7" ht="18" x14ac:dyDescent="0.2">
      <c r="A158" s="20">
        <v>43009</v>
      </c>
      <c r="B158" s="19">
        <v>19.12</v>
      </c>
      <c r="C158" s="19">
        <v>19.43</v>
      </c>
      <c r="D158" s="19">
        <v>18.489999999999998</v>
      </c>
      <c r="E158" s="19">
        <v>18.77</v>
      </c>
      <c r="F158" s="19">
        <v>13.81</v>
      </c>
      <c r="G158" s="21">
        <v>74703200</v>
      </c>
    </row>
    <row r="159" spans="1:7" ht="18" x14ac:dyDescent="0.2">
      <c r="A159" s="20">
        <v>42979</v>
      </c>
      <c r="B159" s="19">
        <v>17.23</v>
      </c>
      <c r="C159" s="19">
        <v>19.29</v>
      </c>
      <c r="D159" s="19">
        <v>15.84</v>
      </c>
      <c r="E159" s="19">
        <v>19.149999999999999</v>
      </c>
      <c r="F159" s="19">
        <v>14.01</v>
      </c>
      <c r="G159" s="21">
        <v>72777600</v>
      </c>
    </row>
    <row r="160" spans="1:7" ht="18" x14ac:dyDescent="0.2">
      <c r="A160" s="20">
        <v>42948</v>
      </c>
      <c r="B160" s="19">
        <v>17.54</v>
      </c>
      <c r="C160" s="19">
        <v>18.11</v>
      </c>
      <c r="D160" s="19">
        <v>16.73</v>
      </c>
      <c r="E160" s="19">
        <v>17.21</v>
      </c>
      <c r="F160" s="19">
        <v>12.59</v>
      </c>
      <c r="G160" s="21">
        <v>50067000</v>
      </c>
    </row>
    <row r="161" spans="1:7" ht="18" x14ac:dyDescent="0.2">
      <c r="A161" s="20">
        <v>42917</v>
      </c>
      <c r="B161" s="19">
        <v>17.440000000000001</v>
      </c>
      <c r="C161" s="19">
        <v>18.13</v>
      </c>
      <c r="D161" s="19">
        <v>17.16</v>
      </c>
      <c r="E161" s="19">
        <v>17.43</v>
      </c>
      <c r="F161" s="19">
        <v>12.75</v>
      </c>
      <c r="G161" s="21">
        <v>54702700</v>
      </c>
    </row>
    <row r="162" spans="1:7" ht="18" x14ac:dyDescent="0.2">
      <c r="A162" s="20">
        <v>42887</v>
      </c>
      <c r="B162" s="19">
        <v>17.059999999999999</v>
      </c>
      <c r="C162" s="19">
        <v>18.559999999999999</v>
      </c>
      <c r="D162" s="19">
        <v>16.8</v>
      </c>
      <c r="E162" s="19">
        <v>17.420000000000002</v>
      </c>
      <c r="F162" s="19">
        <v>12.68</v>
      </c>
      <c r="G162" s="21">
        <v>65719500</v>
      </c>
    </row>
    <row r="163" spans="1:7" ht="18" x14ac:dyDescent="0.2">
      <c r="A163" s="20">
        <v>42856</v>
      </c>
      <c r="B163" s="19">
        <v>18.5</v>
      </c>
      <c r="C163" s="19">
        <v>18.86</v>
      </c>
      <c r="D163" s="19">
        <v>16.63</v>
      </c>
      <c r="E163" s="19">
        <v>16.940000000000001</v>
      </c>
      <c r="F163" s="19">
        <v>12.33</v>
      </c>
      <c r="G163" s="21">
        <v>82742400</v>
      </c>
    </row>
    <row r="164" spans="1:7" ht="18" x14ac:dyDescent="0.2">
      <c r="A164" s="20">
        <v>42826</v>
      </c>
      <c r="B164" s="19">
        <v>18.47</v>
      </c>
      <c r="C164" s="19">
        <v>19.22</v>
      </c>
      <c r="D164" s="19">
        <v>17.43</v>
      </c>
      <c r="E164" s="19">
        <v>18.350000000000001</v>
      </c>
      <c r="F164" s="19">
        <v>13.35</v>
      </c>
      <c r="G164" s="21">
        <v>51453600</v>
      </c>
    </row>
    <row r="165" spans="1:7" ht="18" x14ac:dyDescent="0.2">
      <c r="A165" s="20">
        <v>42795</v>
      </c>
      <c r="B165" s="19">
        <v>20.399999999999999</v>
      </c>
      <c r="C165" s="19">
        <v>20.82</v>
      </c>
      <c r="D165" s="19">
        <v>17.36</v>
      </c>
      <c r="E165" s="19">
        <v>18.5</v>
      </c>
      <c r="F165" s="19">
        <v>13.4</v>
      </c>
      <c r="G165" s="21">
        <v>66248900</v>
      </c>
    </row>
    <row r="166" spans="1:7" ht="18" x14ac:dyDescent="0.2">
      <c r="A166" s="20">
        <v>42767</v>
      </c>
      <c r="B166" s="19">
        <v>20.25</v>
      </c>
      <c r="C166" s="19">
        <v>20.47</v>
      </c>
      <c r="D166" s="19">
        <v>19.25</v>
      </c>
      <c r="E166" s="19">
        <v>19.940000000000001</v>
      </c>
      <c r="F166" s="19">
        <v>14.45</v>
      </c>
      <c r="G166" s="21">
        <v>34595300</v>
      </c>
    </row>
    <row r="167" spans="1:7" ht="18" x14ac:dyDescent="0.2">
      <c r="A167" s="20">
        <v>42736</v>
      </c>
      <c r="B167" s="19">
        <v>20.45</v>
      </c>
      <c r="C167" s="19">
        <v>20.84</v>
      </c>
      <c r="D167" s="19">
        <v>19.2</v>
      </c>
      <c r="E167" s="19">
        <v>20</v>
      </c>
      <c r="F167" s="19">
        <v>14.49</v>
      </c>
      <c r="G167" s="21">
        <v>51182600</v>
      </c>
    </row>
    <row r="168" spans="1:7" ht="18" x14ac:dyDescent="0.2">
      <c r="A168" s="20">
        <v>42705</v>
      </c>
      <c r="B168" s="19">
        <v>19.32</v>
      </c>
      <c r="C168" s="19">
        <v>20.76</v>
      </c>
      <c r="D168" s="19">
        <v>19.260000000000002</v>
      </c>
      <c r="E168" s="19">
        <v>20.010000000000002</v>
      </c>
      <c r="F168" s="19">
        <v>14.45</v>
      </c>
      <c r="G168" s="21">
        <v>46225200</v>
      </c>
    </row>
    <row r="169" spans="1:7" ht="18" x14ac:dyDescent="0.2">
      <c r="A169" s="20">
        <v>42675</v>
      </c>
      <c r="B169" s="19">
        <v>15.5</v>
      </c>
      <c r="C169" s="19">
        <v>19.260000000000002</v>
      </c>
      <c r="D169" s="19">
        <v>14.92</v>
      </c>
      <c r="E169" s="19">
        <v>19.079999999999998</v>
      </c>
      <c r="F169" s="19">
        <v>13.78</v>
      </c>
      <c r="G169" s="21">
        <v>44249000</v>
      </c>
    </row>
    <row r="170" spans="1:7" ht="18" x14ac:dyDescent="0.2">
      <c r="A170" s="20">
        <v>42644</v>
      </c>
      <c r="B170" s="19">
        <v>15.07</v>
      </c>
      <c r="C170" s="19">
        <v>15.83</v>
      </c>
      <c r="D170" s="19">
        <v>14.6</v>
      </c>
      <c r="E170" s="19">
        <v>15.41</v>
      </c>
      <c r="F170" s="19">
        <v>11.13</v>
      </c>
      <c r="G170" s="21">
        <v>48579400</v>
      </c>
    </row>
    <row r="171" spans="1:7" ht="18" x14ac:dyDescent="0.2">
      <c r="A171" s="20">
        <v>42614</v>
      </c>
      <c r="B171" s="19">
        <v>15.45</v>
      </c>
      <c r="C171" s="19">
        <v>15.5</v>
      </c>
      <c r="D171" s="19">
        <v>14.75</v>
      </c>
      <c r="E171" s="19">
        <v>15.23</v>
      </c>
      <c r="F171" s="19">
        <v>10.94</v>
      </c>
      <c r="G171" s="21">
        <v>39778500</v>
      </c>
    </row>
    <row r="172" spans="1:7" ht="18" x14ac:dyDescent="0.2">
      <c r="A172" s="20">
        <v>42583</v>
      </c>
      <c r="B172" s="19">
        <v>14.61</v>
      </c>
      <c r="C172" s="19">
        <v>15.42</v>
      </c>
      <c r="D172" s="19">
        <v>14.29</v>
      </c>
      <c r="E172" s="19">
        <v>15.38</v>
      </c>
      <c r="F172" s="19">
        <v>11.05</v>
      </c>
      <c r="G172" s="21">
        <v>44315700</v>
      </c>
    </row>
    <row r="173" spans="1:7" ht="18" x14ac:dyDescent="0.2">
      <c r="A173" s="20">
        <v>42552</v>
      </c>
      <c r="B173" s="19">
        <v>13.64</v>
      </c>
      <c r="C173" s="19">
        <v>14.87</v>
      </c>
      <c r="D173" s="19">
        <v>12.86</v>
      </c>
      <c r="E173" s="19">
        <v>14.56</v>
      </c>
      <c r="F173" s="19">
        <v>10.46</v>
      </c>
      <c r="G173" s="21">
        <v>42629500</v>
      </c>
    </row>
    <row r="174" spans="1:7" ht="18" x14ac:dyDescent="0.2">
      <c r="A174" s="20">
        <v>42522</v>
      </c>
      <c r="B174" s="19">
        <v>14.43</v>
      </c>
      <c r="C174" s="19">
        <v>14.7</v>
      </c>
      <c r="D174" s="19">
        <v>12.46</v>
      </c>
      <c r="E174" s="19">
        <v>13.78</v>
      </c>
      <c r="F174" s="19">
        <v>9.85</v>
      </c>
      <c r="G174" s="21">
        <v>54029900</v>
      </c>
    </row>
    <row r="175" spans="1:7" ht="18" x14ac:dyDescent="0.2">
      <c r="A175" s="20">
        <v>42491</v>
      </c>
      <c r="B175" s="19">
        <v>14.18</v>
      </c>
      <c r="C175" s="19">
        <v>14.77</v>
      </c>
      <c r="D175" s="19">
        <v>13.47</v>
      </c>
      <c r="E175" s="19">
        <v>14.56</v>
      </c>
      <c r="F175" s="19">
        <v>10.41</v>
      </c>
      <c r="G175" s="21">
        <v>34108700</v>
      </c>
    </row>
    <row r="176" spans="1:7" ht="18" x14ac:dyDescent="0.2">
      <c r="A176" s="20">
        <v>42461</v>
      </c>
      <c r="B176" s="19">
        <v>12.97</v>
      </c>
      <c r="C176" s="19">
        <v>14.64</v>
      </c>
      <c r="D176" s="19">
        <v>12.63</v>
      </c>
      <c r="E176" s="19">
        <v>14.08</v>
      </c>
      <c r="F176" s="19">
        <v>10.07</v>
      </c>
      <c r="G176" s="21">
        <v>44668100</v>
      </c>
    </row>
    <row r="177" spans="1:7" ht="18" x14ac:dyDescent="0.2">
      <c r="A177" s="20">
        <v>42430</v>
      </c>
      <c r="B177" s="19">
        <v>12.12</v>
      </c>
      <c r="C177" s="19">
        <v>13.42</v>
      </c>
      <c r="D177" s="19">
        <v>12.09</v>
      </c>
      <c r="E177" s="19">
        <v>13.1</v>
      </c>
      <c r="F177" s="19">
        <v>9.32</v>
      </c>
      <c r="G177" s="21">
        <v>41738300</v>
      </c>
    </row>
    <row r="178" spans="1:7" ht="18" x14ac:dyDescent="0.2">
      <c r="A178" s="20">
        <v>42401</v>
      </c>
      <c r="B178" s="19">
        <v>12.69</v>
      </c>
      <c r="C178" s="19">
        <v>12.81</v>
      </c>
      <c r="D178" s="19">
        <v>11.51</v>
      </c>
      <c r="E178" s="19">
        <v>12.02</v>
      </c>
      <c r="F178" s="19">
        <v>8.5500000000000007</v>
      </c>
      <c r="G178" s="21">
        <v>58203400</v>
      </c>
    </row>
    <row r="179" spans="1:7" ht="18" x14ac:dyDescent="0.2">
      <c r="A179" s="20">
        <v>42370</v>
      </c>
      <c r="B179" s="19">
        <v>14.22</v>
      </c>
      <c r="C179" s="19">
        <v>14.27</v>
      </c>
      <c r="D179" s="19">
        <v>11.89</v>
      </c>
      <c r="E179" s="19">
        <v>12.73</v>
      </c>
      <c r="F179" s="19">
        <v>9.0500000000000007</v>
      </c>
      <c r="G179" s="21">
        <v>75625200</v>
      </c>
    </row>
    <row r="180" spans="1:7" ht="18" x14ac:dyDescent="0.2">
      <c r="A180" s="20">
        <v>42339</v>
      </c>
      <c r="B180" s="19">
        <v>14.96</v>
      </c>
      <c r="C180" s="19">
        <v>15.05</v>
      </c>
      <c r="D180" s="19">
        <v>14</v>
      </c>
      <c r="E180" s="19">
        <v>14.52</v>
      </c>
      <c r="F180" s="19">
        <v>10.28</v>
      </c>
      <c r="G180" s="21">
        <v>47881400</v>
      </c>
    </row>
    <row r="181" spans="1:7" ht="18" x14ac:dyDescent="0.2">
      <c r="A181" s="20">
        <v>42309</v>
      </c>
      <c r="B181" s="19">
        <v>14.26</v>
      </c>
      <c r="C181" s="19">
        <v>15.47</v>
      </c>
      <c r="D181" s="19">
        <v>14.2</v>
      </c>
      <c r="E181" s="19">
        <v>14.87</v>
      </c>
      <c r="F181" s="19">
        <v>10.53</v>
      </c>
      <c r="G181" s="21">
        <v>40561600</v>
      </c>
    </row>
    <row r="182" spans="1:7" ht="18" x14ac:dyDescent="0.2">
      <c r="A182" s="20">
        <v>42278</v>
      </c>
      <c r="B182" s="19">
        <v>14.25</v>
      </c>
      <c r="C182" s="19">
        <v>14.75</v>
      </c>
      <c r="D182" s="19">
        <v>11.97</v>
      </c>
      <c r="E182" s="19">
        <v>14.18</v>
      </c>
      <c r="F182" s="19">
        <v>10.039999999999999</v>
      </c>
      <c r="G182" s="21">
        <v>54935200</v>
      </c>
    </row>
    <row r="183" spans="1:7" ht="18" x14ac:dyDescent="0.2">
      <c r="A183" s="20">
        <v>42248</v>
      </c>
      <c r="B183" s="19">
        <v>14.2</v>
      </c>
      <c r="C183" s="19">
        <v>14.96</v>
      </c>
      <c r="D183" s="19">
        <v>13.67</v>
      </c>
      <c r="E183" s="19">
        <v>14.18</v>
      </c>
      <c r="F183" s="19">
        <v>10</v>
      </c>
      <c r="G183" s="21">
        <v>45279400</v>
      </c>
    </row>
    <row r="184" spans="1:7" ht="18" x14ac:dyDescent="0.2">
      <c r="A184" s="20">
        <v>42217</v>
      </c>
      <c r="B184" s="19">
        <v>15.83</v>
      </c>
      <c r="C184" s="19">
        <v>16.22</v>
      </c>
      <c r="D184" s="19">
        <v>13.28</v>
      </c>
      <c r="E184" s="19">
        <v>14.53</v>
      </c>
      <c r="F184" s="19">
        <v>10.25</v>
      </c>
      <c r="G184" s="21">
        <v>38707300</v>
      </c>
    </row>
    <row r="185" spans="1:7" ht="18" x14ac:dyDescent="0.2">
      <c r="A185" s="20">
        <v>42186</v>
      </c>
      <c r="B185" s="19">
        <v>15.86</v>
      </c>
      <c r="C185" s="19">
        <v>16.350000000000001</v>
      </c>
      <c r="D185" s="19">
        <v>15.17</v>
      </c>
      <c r="E185" s="19">
        <v>15.85</v>
      </c>
      <c r="F185" s="19">
        <v>11.18</v>
      </c>
      <c r="G185" s="21">
        <v>43229300</v>
      </c>
    </row>
    <row r="186" spans="1:7" ht="18" x14ac:dyDescent="0.2">
      <c r="A186" s="20">
        <v>42156</v>
      </c>
      <c r="B186" s="19">
        <v>14.79</v>
      </c>
      <c r="C186" s="19">
        <v>16</v>
      </c>
      <c r="D186" s="19">
        <v>14.55</v>
      </c>
      <c r="E186" s="19">
        <v>15.67</v>
      </c>
      <c r="F186" s="19">
        <v>11.01</v>
      </c>
      <c r="G186" s="21">
        <v>46868300</v>
      </c>
    </row>
    <row r="187" spans="1:7" ht="18" x14ac:dyDescent="0.2">
      <c r="A187" s="20">
        <v>42125</v>
      </c>
      <c r="B187" s="19">
        <v>14.3</v>
      </c>
      <c r="C187" s="19">
        <v>14.92</v>
      </c>
      <c r="D187" s="19">
        <v>14.14</v>
      </c>
      <c r="E187" s="19">
        <v>14.76</v>
      </c>
      <c r="F187" s="19">
        <v>10.37</v>
      </c>
      <c r="G187" s="21">
        <v>37895500</v>
      </c>
    </row>
    <row r="188" spans="1:7" ht="18" x14ac:dyDescent="0.2">
      <c r="A188" s="20">
        <v>42095</v>
      </c>
      <c r="B188" s="19">
        <v>14.25</v>
      </c>
      <c r="C188" s="19">
        <v>14.63</v>
      </c>
      <c r="D188" s="19">
        <v>13.95</v>
      </c>
      <c r="E188" s="19">
        <v>14.25</v>
      </c>
      <c r="F188" s="19">
        <v>10.01</v>
      </c>
      <c r="G188" s="21">
        <v>38636400</v>
      </c>
    </row>
    <row r="189" spans="1:7" ht="18" x14ac:dyDescent="0.2">
      <c r="A189" s="20">
        <v>42064</v>
      </c>
      <c r="B189" s="19">
        <v>14.29</v>
      </c>
      <c r="C189" s="19">
        <v>14.86</v>
      </c>
      <c r="D189" s="19">
        <v>13.74</v>
      </c>
      <c r="E189" s="19">
        <v>14.29</v>
      </c>
      <c r="F189" s="19">
        <v>10</v>
      </c>
      <c r="G189" s="21">
        <v>62263400</v>
      </c>
    </row>
    <row r="190" spans="1:7" ht="18" x14ac:dyDescent="0.2">
      <c r="A190" s="20">
        <v>42036</v>
      </c>
      <c r="B190" s="19">
        <v>13.06</v>
      </c>
      <c r="C190" s="19">
        <v>14.66</v>
      </c>
      <c r="D190" s="19">
        <v>12.96</v>
      </c>
      <c r="E190" s="19">
        <v>14.29</v>
      </c>
      <c r="F190" s="19">
        <v>10</v>
      </c>
      <c r="G190" s="21">
        <v>40519700</v>
      </c>
    </row>
    <row r="191" spans="1:7" ht="18" x14ac:dyDescent="0.2">
      <c r="A191" s="20">
        <v>42005</v>
      </c>
      <c r="B191" s="19">
        <v>13.64</v>
      </c>
      <c r="C191" s="19">
        <v>13.7</v>
      </c>
      <c r="D191" s="19">
        <v>12.17</v>
      </c>
      <c r="E191" s="19">
        <v>12.99</v>
      </c>
      <c r="F191" s="19">
        <v>9.09</v>
      </c>
      <c r="G191" s="21">
        <v>65726400</v>
      </c>
    </row>
    <row r="192" spans="1:7" ht="18" x14ac:dyDescent="0.2">
      <c r="A192" s="20">
        <v>41974</v>
      </c>
      <c r="B192" s="19">
        <v>12.7</v>
      </c>
      <c r="C192" s="19">
        <v>13.99</v>
      </c>
      <c r="D192" s="19">
        <v>12.42</v>
      </c>
      <c r="E192" s="19">
        <v>13.58</v>
      </c>
      <c r="F192" s="19">
        <v>9.4700000000000006</v>
      </c>
      <c r="G192" s="21">
        <v>52828700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D6DDB-FA59-6C40-8421-C025028345D3}">
  <dimension ref="A1:H181"/>
  <sheetViews>
    <sheetView topLeftCell="A155" workbookViewId="0">
      <selection activeCell="J51" sqref="J1:P1048576"/>
    </sheetView>
  </sheetViews>
  <sheetFormatPr baseColWidth="10" defaultRowHeight="16" x14ac:dyDescent="0.2"/>
  <cols>
    <col min="1" max="1" width="11.33203125" bestFit="1" customWidth="1"/>
    <col min="7" max="7" width="16.6640625" bestFit="1" customWidth="1"/>
  </cols>
  <sheetData>
    <row r="1" spans="1:8" x14ac:dyDescent="0.2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70</v>
      </c>
    </row>
    <row r="2" spans="1:8" ht="18" x14ac:dyDescent="0.2">
      <c r="A2" s="5">
        <v>45962</v>
      </c>
      <c r="B2" s="6">
        <v>311</v>
      </c>
      <c r="C2" s="6">
        <v>322.25</v>
      </c>
      <c r="D2" s="6">
        <v>301.23</v>
      </c>
      <c r="E2" s="6">
        <v>303.61</v>
      </c>
      <c r="F2" s="6">
        <v>303.61</v>
      </c>
      <c r="G2" s="7">
        <v>76928700</v>
      </c>
      <c r="H2" t="s">
        <v>71</v>
      </c>
    </row>
    <row r="3" spans="1:8" ht="18" x14ac:dyDescent="0.2">
      <c r="A3" s="5">
        <v>45931</v>
      </c>
      <c r="B3" s="6">
        <v>313.97000000000003</v>
      </c>
      <c r="C3" s="6">
        <v>314.58999999999997</v>
      </c>
      <c r="D3" s="6">
        <v>290.54000000000002</v>
      </c>
      <c r="E3" s="6">
        <v>311.12</v>
      </c>
      <c r="F3" s="6">
        <v>309.61</v>
      </c>
      <c r="G3" s="7">
        <v>189429800</v>
      </c>
      <c r="H3" t="s">
        <v>71</v>
      </c>
    </row>
    <row r="4" spans="1:8" ht="18" x14ac:dyDescent="0.2">
      <c r="A4" s="5">
        <v>45901</v>
      </c>
      <c r="B4" s="6">
        <v>300.26</v>
      </c>
      <c r="C4" s="6">
        <v>318.01</v>
      </c>
      <c r="D4" s="6">
        <v>291.44</v>
      </c>
      <c r="E4" s="6">
        <v>315.43</v>
      </c>
      <c r="F4" s="6">
        <v>313.89999999999998</v>
      </c>
      <c r="G4" s="7">
        <v>182562300</v>
      </c>
      <c r="H4" t="s">
        <v>71</v>
      </c>
    </row>
    <row r="5" spans="1:8" ht="18" x14ac:dyDescent="0.2">
      <c r="A5" s="5">
        <v>45870</v>
      </c>
      <c r="B5" s="6">
        <v>290.39999999999998</v>
      </c>
      <c r="C5" s="6">
        <v>302.95</v>
      </c>
      <c r="D5" s="6">
        <v>284.24</v>
      </c>
      <c r="E5" s="6">
        <v>301.42</v>
      </c>
      <c r="F5" s="6">
        <v>299.95999999999998</v>
      </c>
      <c r="G5" s="7">
        <v>148828400</v>
      </c>
      <c r="H5" t="s">
        <v>71</v>
      </c>
    </row>
    <row r="6" spans="1:8" ht="18" x14ac:dyDescent="0.2">
      <c r="A6" s="5">
        <v>45839</v>
      </c>
      <c r="B6" s="6">
        <v>290.89</v>
      </c>
      <c r="C6" s="6">
        <v>301.29000000000002</v>
      </c>
      <c r="D6" s="6">
        <v>280.31</v>
      </c>
      <c r="E6" s="6">
        <v>296.24</v>
      </c>
      <c r="F6" s="6">
        <v>293.39</v>
      </c>
      <c r="G6" s="7">
        <v>198593200</v>
      </c>
      <c r="H6" t="s">
        <v>71</v>
      </c>
    </row>
    <row r="7" spans="1:8" ht="18" x14ac:dyDescent="0.2">
      <c r="A7" s="5">
        <v>45809</v>
      </c>
      <c r="B7" s="6">
        <v>263.02</v>
      </c>
      <c r="C7" s="6">
        <v>292.64999999999998</v>
      </c>
      <c r="D7" s="6">
        <v>260.31</v>
      </c>
      <c r="E7" s="6">
        <v>289.91000000000003</v>
      </c>
      <c r="F7" s="6">
        <v>287.12</v>
      </c>
      <c r="G7" s="7">
        <v>174361400</v>
      </c>
      <c r="H7" t="s">
        <v>71</v>
      </c>
    </row>
    <row r="8" spans="1:8" ht="18" x14ac:dyDescent="0.2">
      <c r="A8" s="5">
        <v>45778</v>
      </c>
      <c r="B8" s="6">
        <v>242.84</v>
      </c>
      <c r="C8" s="6">
        <v>269.52</v>
      </c>
      <c r="D8" s="6">
        <v>242.17</v>
      </c>
      <c r="E8" s="6">
        <v>264</v>
      </c>
      <c r="F8" s="6">
        <v>261.45999999999998</v>
      </c>
      <c r="G8" s="7">
        <v>165122600</v>
      </c>
      <c r="H8" t="s">
        <v>71</v>
      </c>
    </row>
    <row r="9" spans="1:8" ht="18" x14ac:dyDescent="0.2">
      <c r="A9" s="5">
        <v>45748</v>
      </c>
      <c r="B9" s="6">
        <v>242.62</v>
      </c>
      <c r="C9" s="6">
        <v>247.25</v>
      </c>
      <c r="D9" s="6">
        <v>202.16</v>
      </c>
      <c r="E9" s="6">
        <v>244.62</v>
      </c>
      <c r="F9" s="6">
        <v>240.79</v>
      </c>
      <c r="G9" s="7">
        <v>287378000</v>
      </c>
      <c r="H9" t="s">
        <v>71</v>
      </c>
    </row>
    <row r="10" spans="1:8" ht="18" x14ac:dyDescent="0.2">
      <c r="A10" s="5">
        <v>45717</v>
      </c>
      <c r="B10" s="6">
        <v>264</v>
      </c>
      <c r="C10" s="6">
        <v>266.32</v>
      </c>
      <c r="D10" s="6">
        <v>224.23</v>
      </c>
      <c r="E10" s="6">
        <v>245.3</v>
      </c>
      <c r="F10" s="6">
        <v>241.46</v>
      </c>
      <c r="G10" s="7">
        <v>265181900</v>
      </c>
      <c r="H10" t="s">
        <v>71</v>
      </c>
    </row>
    <row r="11" spans="1:8" ht="18" x14ac:dyDescent="0.2">
      <c r="A11" s="5">
        <v>45689</v>
      </c>
      <c r="B11" s="6">
        <v>261.83</v>
      </c>
      <c r="C11" s="6">
        <v>280.25</v>
      </c>
      <c r="D11" s="6">
        <v>253.35</v>
      </c>
      <c r="E11" s="6">
        <v>264.64999999999998</v>
      </c>
      <c r="F11" s="6">
        <v>260.5</v>
      </c>
      <c r="G11" s="7">
        <v>156634700</v>
      </c>
      <c r="H11" t="s">
        <v>71</v>
      </c>
    </row>
    <row r="12" spans="1:8" ht="18" x14ac:dyDescent="0.2">
      <c r="A12" s="5">
        <v>45658</v>
      </c>
      <c r="B12" s="6">
        <v>240.92</v>
      </c>
      <c r="C12" s="6">
        <v>270.82</v>
      </c>
      <c r="D12" s="6">
        <v>238.74</v>
      </c>
      <c r="E12" s="6">
        <v>267.3</v>
      </c>
      <c r="F12" s="6">
        <v>261.76</v>
      </c>
      <c r="G12" s="7">
        <v>209826800</v>
      </c>
      <c r="H12" t="s">
        <v>71</v>
      </c>
    </row>
    <row r="13" spans="1:8" ht="18" x14ac:dyDescent="0.2">
      <c r="A13" s="5">
        <v>45627</v>
      </c>
      <c r="B13" s="6">
        <v>249.55</v>
      </c>
      <c r="C13" s="6">
        <v>250.25</v>
      </c>
      <c r="D13" s="6">
        <v>229.53</v>
      </c>
      <c r="E13" s="6">
        <v>239.71</v>
      </c>
      <c r="F13" s="6">
        <v>234.74</v>
      </c>
      <c r="G13" s="7">
        <v>181266200</v>
      </c>
      <c r="H13" t="s">
        <v>71</v>
      </c>
    </row>
    <row r="14" spans="1:8" ht="18" x14ac:dyDescent="0.2">
      <c r="A14" s="5">
        <v>45597</v>
      </c>
      <c r="B14" s="6">
        <v>223.56</v>
      </c>
      <c r="C14" s="6">
        <v>254.31</v>
      </c>
      <c r="D14" s="6">
        <v>219.17</v>
      </c>
      <c r="E14" s="6">
        <v>249.72</v>
      </c>
      <c r="F14" s="6">
        <v>244.54</v>
      </c>
      <c r="G14" s="7">
        <v>188851300</v>
      </c>
      <c r="H14" t="s">
        <v>71</v>
      </c>
    </row>
    <row r="15" spans="1:8" ht="18" x14ac:dyDescent="0.2">
      <c r="A15" s="5">
        <v>45566</v>
      </c>
      <c r="B15" s="6">
        <v>208.9</v>
      </c>
      <c r="C15" s="6">
        <v>226.75</v>
      </c>
      <c r="D15" s="6">
        <v>204.34</v>
      </c>
      <c r="E15" s="6">
        <v>221.92</v>
      </c>
      <c r="F15" s="6">
        <v>216</v>
      </c>
      <c r="G15" s="7">
        <v>178337400</v>
      </c>
      <c r="H15" t="s">
        <v>71</v>
      </c>
    </row>
    <row r="16" spans="1:8" ht="18" x14ac:dyDescent="0.2">
      <c r="A16" s="5">
        <v>45536</v>
      </c>
      <c r="B16" s="6">
        <v>222.3</v>
      </c>
      <c r="C16" s="6">
        <v>224.1</v>
      </c>
      <c r="D16" s="6">
        <v>200.61</v>
      </c>
      <c r="E16" s="6">
        <v>210.86</v>
      </c>
      <c r="F16" s="6">
        <v>205.23</v>
      </c>
      <c r="G16" s="7">
        <v>206487600</v>
      </c>
      <c r="H16" t="s">
        <v>71</v>
      </c>
    </row>
    <row r="17" spans="1:8" ht="18" x14ac:dyDescent="0.2">
      <c r="A17" s="5">
        <v>45505</v>
      </c>
      <c r="B17" s="6">
        <v>213.2</v>
      </c>
      <c r="C17" s="6">
        <v>225.48</v>
      </c>
      <c r="D17" s="6">
        <v>190.9</v>
      </c>
      <c r="E17" s="6">
        <v>224.8</v>
      </c>
      <c r="F17" s="6">
        <v>218.8</v>
      </c>
      <c r="G17" s="7">
        <v>172435900</v>
      </c>
      <c r="H17" t="s">
        <v>71</v>
      </c>
    </row>
    <row r="18" spans="1:8" ht="18" x14ac:dyDescent="0.2">
      <c r="A18" s="5">
        <v>45474</v>
      </c>
      <c r="B18" s="6">
        <v>202.84</v>
      </c>
      <c r="C18" s="6">
        <v>217.56</v>
      </c>
      <c r="D18" s="6">
        <v>202.1</v>
      </c>
      <c r="E18" s="6">
        <v>212.8</v>
      </c>
      <c r="F18" s="6">
        <v>205.98</v>
      </c>
      <c r="G18" s="7">
        <v>197445800</v>
      </c>
      <c r="H18" t="s">
        <v>71</v>
      </c>
    </row>
    <row r="19" spans="1:8" ht="18" x14ac:dyDescent="0.2">
      <c r="A19" s="5">
        <v>45444</v>
      </c>
      <c r="B19" s="6">
        <v>202.31</v>
      </c>
      <c r="C19" s="6">
        <v>202.6</v>
      </c>
      <c r="D19" s="6">
        <v>190.88</v>
      </c>
      <c r="E19" s="6">
        <v>202.26</v>
      </c>
      <c r="F19" s="6">
        <v>195.78</v>
      </c>
      <c r="G19" s="7">
        <v>174847900</v>
      </c>
      <c r="H19" t="s">
        <v>71</v>
      </c>
    </row>
    <row r="20" spans="1:8" ht="18" x14ac:dyDescent="0.2">
      <c r="A20" s="5">
        <v>45413</v>
      </c>
      <c r="B20" s="6">
        <v>192.27</v>
      </c>
      <c r="C20" s="6">
        <v>205.88</v>
      </c>
      <c r="D20" s="6">
        <v>188.46</v>
      </c>
      <c r="E20" s="6">
        <v>202.63</v>
      </c>
      <c r="F20" s="6">
        <v>196.13</v>
      </c>
      <c r="G20" s="7">
        <v>195900400</v>
      </c>
      <c r="H20" t="s">
        <v>71</v>
      </c>
    </row>
    <row r="21" spans="1:8" ht="18" x14ac:dyDescent="0.2">
      <c r="A21" s="5">
        <v>45383</v>
      </c>
      <c r="B21" s="6">
        <v>199.99</v>
      </c>
      <c r="C21" s="6">
        <v>200.94</v>
      </c>
      <c r="D21" s="6">
        <v>179.2</v>
      </c>
      <c r="E21" s="6">
        <v>191.74</v>
      </c>
      <c r="F21" s="6">
        <v>184.52</v>
      </c>
      <c r="G21" s="7">
        <v>224749100</v>
      </c>
      <c r="H21" t="s">
        <v>71</v>
      </c>
    </row>
    <row r="22" spans="1:8" ht="18" x14ac:dyDescent="0.2">
      <c r="A22" s="5">
        <v>45352</v>
      </c>
      <c r="B22" s="6">
        <v>185.7</v>
      </c>
      <c r="C22" s="6">
        <v>200.72</v>
      </c>
      <c r="D22" s="6">
        <v>184.27</v>
      </c>
      <c r="E22" s="6">
        <v>200.3</v>
      </c>
      <c r="F22" s="6">
        <v>192.75</v>
      </c>
      <c r="G22" s="7">
        <v>166255900</v>
      </c>
      <c r="H22" t="s">
        <v>71</v>
      </c>
    </row>
    <row r="23" spans="1:8" ht="18" x14ac:dyDescent="0.2">
      <c r="A23" s="5">
        <v>45323</v>
      </c>
      <c r="B23" s="6">
        <v>173.64</v>
      </c>
      <c r="C23" s="6">
        <v>186.43</v>
      </c>
      <c r="D23" s="6">
        <v>171.43</v>
      </c>
      <c r="E23" s="6">
        <v>186.06</v>
      </c>
      <c r="F23" s="6">
        <v>179.05</v>
      </c>
      <c r="G23" s="7">
        <v>154730900</v>
      </c>
      <c r="H23" t="s">
        <v>71</v>
      </c>
    </row>
    <row r="24" spans="1:8" ht="18" x14ac:dyDescent="0.2">
      <c r="A24" s="5">
        <v>45292</v>
      </c>
      <c r="B24" s="6">
        <v>169.09</v>
      </c>
      <c r="C24" s="6">
        <v>178.3</v>
      </c>
      <c r="D24" s="6">
        <v>164.3</v>
      </c>
      <c r="E24" s="6">
        <v>174.36</v>
      </c>
      <c r="F24" s="6">
        <v>166.76</v>
      </c>
      <c r="G24" s="7">
        <v>231656800</v>
      </c>
      <c r="H24" t="s">
        <v>71</v>
      </c>
    </row>
    <row r="25" spans="1:8" ht="18" x14ac:dyDescent="0.2">
      <c r="A25" s="5">
        <v>45261</v>
      </c>
      <c r="B25" s="6">
        <v>155.82</v>
      </c>
      <c r="C25" s="6">
        <v>170.69</v>
      </c>
      <c r="D25" s="6">
        <v>155.82</v>
      </c>
      <c r="E25" s="6">
        <v>170.1</v>
      </c>
      <c r="F25" s="6">
        <v>162.69</v>
      </c>
      <c r="G25" s="7">
        <v>184769100</v>
      </c>
      <c r="H25" t="s">
        <v>71</v>
      </c>
    </row>
    <row r="26" spans="1:8" ht="18" x14ac:dyDescent="0.2">
      <c r="A26" s="5">
        <v>45231</v>
      </c>
      <c r="B26" s="6">
        <v>139.25</v>
      </c>
      <c r="C26" s="6">
        <v>156.13</v>
      </c>
      <c r="D26" s="6">
        <v>138.47</v>
      </c>
      <c r="E26" s="6">
        <v>156.08000000000001</v>
      </c>
      <c r="F26" s="6">
        <v>149.28</v>
      </c>
      <c r="G26" s="7">
        <v>162193400</v>
      </c>
      <c r="H26" t="s">
        <v>71</v>
      </c>
    </row>
    <row r="27" spans="1:8" ht="18" x14ac:dyDescent="0.2">
      <c r="A27" s="5">
        <v>45200</v>
      </c>
      <c r="B27" s="6">
        <v>144.83000000000001</v>
      </c>
      <c r="C27" s="6">
        <v>153.11000000000001</v>
      </c>
      <c r="D27" s="6">
        <v>135.19</v>
      </c>
      <c r="E27" s="6">
        <v>139.06</v>
      </c>
      <c r="F27" s="6">
        <v>132.03</v>
      </c>
      <c r="G27" s="7">
        <v>244013000</v>
      </c>
      <c r="H27" t="s">
        <v>71</v>
      </c>
    </row>
    <row r="28" spans="1:8" ht="18" x14ac:dyDescent="0.2">
      <c r="A28" s="5">
        <v>45170</v>
      </c>
      <c r="B28" s="6">
        <v>146.09</v>
      </c>
      <c r="C28" s="6">
        <v>150.25</v>
      </c>
      <c r="D28" s="6">
        <v>142.65</v>
      </c>
      <c r="E28" s="6">
        <v>145.02000000000001</v>
      </c>
      <c r="F28" s="6">
        <v>137.69</v>
      </c>
      <c r="G28" s="7">
        <v>172239300</v>
      </c>
      <c r="H28" t="s">
        <v>71</v>
      </c>
    </row>
    <row r="29" spans="1:8" ht="18" x14ac:dyDescent="0.2">
      <c r="A29" s="5">
        <v>45139</v>
      </c>
      <c r="B29" s="6">
        <v>157.43</v>
      </c>
      <c r="C29" s="6">
        <v>158</v>
      </c>
      <c r="D29" s="6">
        <v>145.46</v>
      </c>
      <c r="E29" s="6">
        <v>146.33000000000001</v>
      </c>
      <c r="F29" s="6">
        <v>138.93</v>
      </c>
      <c r="G29" s="7">
        <v>169299800</v>
      </c>
      <c r="H29" t="s">
        <v>71</v>
      </c>
    </row>
    <row r="30" spans="1:8" ht="18" x14ac:dyDescent="0.2">
      <c r="A30" s="5">
        <v>45108</v>
      </c>
      <c r="B30" s="6">
        <v>146.19</v>
      </c>
      <c r="C30" s="6">
        <v>159.38</v>
      </c>
      <c r="D30" s="6">
        <v>141.44</v>
      </c>
      <c r="E30" s="6">
        <v>157.96</v>
      </c>
      <c r="F30" s="6">
        <v>148.94999999999999</v>
      </c>
      <c r="G30" s="7">
        <v>231261000</v>
      </c>
      <c r="H30" t="s">
        <v>71</v>
      </c>
    </row>
    <row r="31" spans="1:8" ht="18" x14ac:dyDescent="0.2">
      <c r="A31" s="5">
        <v>45078</v>
      </c>
      <c r="B31" s="6">
        <v>136.52000000000001</v>
      </c>
      <c r="C31" s="6">
        <v>146</v>
      </c>
      <c r="D31" s="6">
        <v>135.44999999999999</v>
      </c>
      <c r="E31" s="6">
        <v>145.44</v>
      </c>
      <c r="F31" s="6">
        <v>137.13999999999999</v>
      </c>
      <c r="G31" s="7">
        <v>206562200</v>
      </c>
      <c r="H31" t="s">
        <v>71</v>
      </c>
    </row>
    <row r="32" spans="1:8" ht="18" x14ac:dyDescent="0.2">
      <c r="A32" s="5">
        <v>45047</v>
      </c>
      <c r="B32" s="6">
        <v>142.26</v>
      </c>
      <c r="C32" s="6">
        <v>143.37</v>
      </c>
      <c r="D32" s="6">
        <v>131.81</v>
      </c>
      <c r="E32" s="6">
        <v>135.71</v>
      </c>
      <c r="F32" s="6">
        <v>127.97</v>
      </c>
      <c r="G32" s="7">
        <v>235306100</v>
      </c>
      <c r="H32" t="s">
        <v>71</v>
      </c>
    </row>
    <row r="33" spans="1:8" ht="18" x14ac:dyDescent="0.2">
      <c r="A33" s="5">
        <v>45017</v>
      </c>
      <c r="B33" s="6">
        <v>129.91</v>
      </c>
      <c r="C33" s="6">
        <v>141.78</v>
      </c>
      <c r="D33" s="6">
        <v>126.22</v>
      </c>
      <c r="E33" s="6">
        <v>138.24</v>
      </c>
      <c r="F33" s="6">
        <v>129.34</v>
      </c>
      <c r="G33" s="7">
        <v>242865000</v>
      </c>
      <c r="H33" t="s">
        <v>71</v>
      </c>
    </row>
    <row r="34" spans="1:8" ht="18" x14ac:dyDescent="0.2">
      <c r="A34" s="5">
        <v>44986</v>
      </c>
      <c r="B34" s="6">
        <v>142.1</v>
      </c>
      <c r="C34" s="6">
        <v>144.04</v>
      </c>
      <c r="D34" s="6">
        <v>123.11</v>
      </c>
      <c r="E34" s="6">
        <v>130.31</v>
      </c>
      <c r="F34" s="6">
        <v>121.92</v>
      </c>
      <c r="G34" s="7">
        <v>458474400</v>
      </c>
      <c r="H34" t="s">
        <v>71</v>
      </c>
    </row>
    <row r="35" spans="1:8" ht="18" x14ac:dyDescent="0.2">
      <c r="A35" s="5">
        <v>44958</v>
      </c>
      <c r="B35" s="6">
        <v>138.21</v>
      </c>
      <c r="C35" s="6">
        <v>144.34</v>
      </c>
      <c r="D35" s="6">
        <v>137.44</v>
      </c>
      <c r="E35" s="6">
        <v>143.35</v>
      </c>
      <c r="F35" s="6">
        <v>134.12</v>
      </c>
      <c r="G35" s="7">
        <v>169562800</v>
      </c>
      <c r="H35" t="s">
        <v>71</v>
      </c>
    </row>
    <row r="36" spans="1:8" ht="18" x14ac:dyDescent="0.2">
      <c r="A36" s="5">
        <v>44927</v>
      </c>
      <c r="B36" s="6">
        <v>135.24</v>
      </c>
      <c r="C36" s="6">
        <v>143.49</v>
      </c>
      <c r="D36" s="6">
        <v>133.55000000000001</v>
      </c>
      <c r="E36" s="6">
        <v>139.96</v>
      </c>
      <c r="F36" s="6">
        <v>129.99</v>
      </c>
      <c r="G36" s="7">
        <v>209965200</v>
      </c>
      <c r="H36" t="s">
        <v>71</v>
      </c>
    </row>
    <row r="37" spans="1:8" ht="18" x14ac:dyDescent="0.2">
      <c r="A37" s="5">
        <v>44896</v>
      </c>
      <c r="B37" s="6">
        <v>138.18</v>
      </c>
      <c r="C37" s="6">
        <v>138.66</v>
      </c>
      <c r="D37" s="6">
        <v>128.41</v>
      </c>
      <c r="E37" s="6">
        <v>134.1</v>
      </c>
      <c r="F37" s="6">
        <v>124.54</v>
      </c>
      <c r="G37" s="7">
        <v>202046000</v>
      </c>
      <c r="H37" t="s">
        <v>71</v>
      </c>
    </row>
    <row r="38" spans="1:8" ht="18" x14ac:dyDescent="0.2">
      <c r="A38" s="5">
        <v>44866</v>
      </c>
      <c r="B38" s="6">
        <v>126.87</v>
      </c>
      <c r="C38" s="6">
        <v>138.18</v>
      </c>
      <c r="D38" s="6">
        <v>125.91</v>
      </c>
      <c r="E38" s="6">
        <v>138.18</v>
      </c>
      <c r="F38" s="6">
        <v>128.33000000000001</v>
      </c>
      <c r="G38" s="7">
        <v>227228500</v>
      </c>
      <c r="H38" t="s">
        <v>71</v>
      </c>
    </row>
    <row r="39" spans="1:8" ht="18" x14ac:dyDescent="0.2">
      <c r="A39" s="5">
        <v>44835</v>
      </c>
      <c r="B39" s="6">
        <v>105.62</v>
      </c>
      <c r="C39" s="6">
        <v>127.43</v>
      </c>
      <c r="D39" s="6">
        <v>101.28</v>
      </c>
      <c r="E39" s="6">
        <v>125.88</v>
      </c>
      <c r="F39" s="6">
        <v>115.87</v>
      </c>
      <c r="G39" s="7">
        <v>318197200</v>
      </c>
      <c r="H39" t="s">
        <v>71</v>
      </c>
    </row>
    <row r="40" spans="1:8" ht="18" x14ac:dyDescent="0.2">
      <c r="A40" s="5">
        <v>44805</v>
      </c>
      <c r="B40" s="6">
        <v>113.29</v>
      </c>
      <c r="C40" s="6">
        <v>121.55</v>
      </c>
      <c r="D40" s="6">
        <v>104.4</v>
      </c>
      <c r="E40" s="6">
        <v>104.5</v>
      </c>
      <c r="F40" s="6">
        <v>96.19</v>
      </c>
      <c r="G40" s="7">
        <v>248558100</v>
      </c>
      <c r="H40" t="s">
        <v>71</v>
      </c>
    </row>
    <row r="41" spans="1:8" ht="18" x14ac:dyDescent="0.2">
      <c r="A41" s="5">
        <v>44774</v>
      </c>
      <c r="B41" s="6">
        <v>114.5</v>
      </c>
      <c r="C41" s="6">
        <v>124.24</v>
      </c>
      <c r="D41" s="6">
        <v>111.02</v>
      </c>
      <c r="E41" s="6">
        <v>113.73</v>
      </c>
      <c r="F41" s="6">
        <v>104.69</v>
      </c>
      <c r="G41" s="7">
        <v>258430300</v>
      </c>
      <c r="H41" t="s">
        <v>71</v>
      </c>
    </row>
    <row r="42" spans="1:8" ht="18" x14ac:dyDescent="0.2">
      <c r="A42" s="5">
        <v>44743</v>
      </c>
      <c r="B42" s="6">
        <v>112.65</v>
      </c>
      <c r="C42" s="6">
        <v>116.5</v>
      </c>
      <c r="D42" s="6">
        <v>106.06</v>
      </c>
      <c r="E42" s="6">
        <v>115.36</v>
      </c>
      <c r="F42" s="6">
        <v>105.26</v>
      </c>
      <c r="G42" s="7">
        <v>239623100</v>
      </c>
      <c r="H42" t="s">
        <v>71</v>
      </c>
    </row>
    <row r="43" spans="1:8" ht="18" x14ac:dyDescent="0.2">
      <c r="A43" s="5">
        <v>44713</v>
      </c>
      <c r="B43" s="6">
        <v>132.87</v>
      </c>
      <c r="C43" s="6">
        <v>132.87</v>
      </c>
      <c r="D43" s="6">
        <v>110.93</v>
      </c>
      <c r="E43" s="6">
        <v>112.61</v>
      </c>
      <c r="F43" s="6">
        <v>102.75</v>
      </c>
      <c r="G43" s="7">
        <v>268201900</v>
      </c>
      <c r="H43" t="s">
        <v>71</v>
      </c>
    </row>
    <row r="44" spans="1:8" ht="18" x14ac:dyDescent="0.2">
      <c r="A44" s="5">
        <v>44682</v>
      </c>
      <c r="B44" s="6">
        <v>119.88</v>
      </c>
      <c r="C44" s="6">
        <v>133.15</v>
      </c>
      <c r="D44" s="6">
        <v>115.02</v>
      </c>
      <c r="E44" s="6">
        <v>132.22999999999999</v>
      </c>
      <c r="F44" s="6">
        <v>120.65</v>
      </c>
      <c r="G44" s="7">
        <v>313630400</v>
      </c>
      <c r="H44" t="s">
        <v>71</v>
      </c>
    </row>
    <row r="45" spans="1:8" ht="18" x14ac:dyDescent="0.2">
      <c r="A45" s="5">
        <v>44652</v>
      </c>
      <c r="B45" s="6">
        <v>137.4</v>
      </c>
      <c r="C45" s="6">
        <v>137.41</v>
      </c>
      <c r="D45" s="6">
        <v>118.9</v>
      </c>
      <c r="E45" s="6">
        <v>119.36</v>
      </c>
      <c r="F45" s="6">
        <v>108.11</v>
      </c>
      <c r="G45" s="7">
        <v>303650400</v>
      </c>
      <c r="H45" t="s">
        <v>71</v>
      </c>
    </row>
    <row r="46" spans="1:8" ht="18" x14ac:dyDescent="0.2">
      <c r="A46" s="5">
        <v>44621</v>
      </c>
      <c r="B46" s="6">
        <v>140.04</v>
      </c>
      <c r="C46" s="6">
        <v>143.93</v>
      </c>
      <c r="D46" s="6">
        <v>127.27</v>
      </c>
      <c r="E46" s="6">
        <v>136.32</v>
      </c>
      <c r="F46" s="6">
        <v>123.47</v>
      </c>
      <c r="G46" s="7">
        <v>390796800</v>
      </c>
      <c r="H46" t="s">
        <v>71</v>
      </c>
    </row>
    <row r="47" spans="1:8" ht="18" x14ac:dyDescent="0.2">
      <c r="A47" s="5">
        <v>44593</v>
      </c>
      <c r="B47" s="6">
        <v>148.69</v>
      </c>
      <c r="C47" s="6">
        <v>159.03</v>
      </c>
      <c r="D47" s="6">
        <v>139.78</v>
      </c>
      <c r="E47" s="6">
        <v>141.80000000000001</v>
      </c>
      <c r="F47" s="6">
        <v>128.43</v>
      </c>
      <c r="G47" s="7">
        <v>288730100</v>
      </c>
      <c r="H47" t="s">
        <v>71</v>
      </c>
    </row>
    <row r="48" spans="1:8" ht="18" x14ac:dyDescent="0.2">
      <c r="A48" s="5">
        <v>44562</v>
      </c>
      <c r="B48" s="6">
        <v>159.86000000000001</v>
      </c>
      <c r="C48" s="6">
        <v>169.81</v>
      </c>
      <c r="D48" s="6">
        <v>139.57</v>
      </c>
      <c r="E48" s="6">
        <v>148.6</v>
      </c>
      <c r="F48" s="6">
        <v>133.79</v>
      </c>
      <c r="G48" s="7">
        <v>373950200</v>
      </c>
      <c r="H48" t="s">
        <v>71</v>
      </c>
    </row>
    <row r="49" spans="1:8" ht="18" x14ac:dyDescent="0.2">
      <c r="A49" s="5">
        <v>44531</v>
      </c>
      <c r="B49" s="6">
        <v>161</v>
      </c>
      <c r="C49" s="6">
        <v>163.38999999999999</v>
      </c>
      <c r="D49" s="6">
        <v>151.84</v>
      </c>
      <c r="E49" s="6">
        <v>158.35</v>
      </c>
      <c r="F49" s="6">
        <v>142.57</v>
      </c>
      <c r="G49" s="7">
        <v>251966400</v>
      </c>
      <c r="H49" t="s">
        <v>71</v>
      </c>
    </row>
    <row r="50" spans="1:8" ht="18" x14ac:dyDescent="0.2">
      <c r="A50" s="5">
        <v>44501</v>
      </c>
      <c r="B50" s="6">
        <v>172.04</v>
      </c>
      <c r="C50" s="6">
        <v>172.33</v>
      </c>
      <c r="D50" s="6">
        <v>158.29</v>
      </c>
      <c r="E50" s="6">
        <v>158.83000000000001</v>
      </c>
      <c r="F50" s="6">
        <v>143</v>
      </c>
      <c r="G50" s="7">
        <v>203498400</v>
      </c>
      <c r="H50" t="s">
        <v>71</v>
      </c>
    </row>
    <row r="51" spans="1:8" ht="18" x14ac:dyDescent="0.2">
      <c r="A51" s="5">
        <v>44470</v>
      </c>
      <c r="B51" s="6">
        <v>164</v>
      </c>
      <c r="C51" s="6">
        <v>172.96</v>
      </c>
      <c r="D51" s="6">
        <v>160.06</v>
      </c>
      <c r="E51" s="6">
        <v>169.89</v>
      </c>
      <c r="F51" s="6">
        <v>152.04</v>
      </c>
      <c r="G51" s="7">
        <v>231680800</v>
      </c>
      <c r="H51" t="s">
        <v>71</v>
      </c>
    </row>
    <row r="52" spans="1:8" ht="18" x14ac:dyDescent="0.2">
      <c r="A52" s="5">
        <v>44440</v>
      </c>
      <c r="B52" s="6">
        <v>160.22</v>
      </c>
      <c r="C52" s="6">
        <v>169.3</v>
      </c>
      <c r="D52" s="6">
        <v>150.49</v>
      </c>
      <c r="E52" s="6">
        <v>163.69</v>
      </c>
      <c r="F52" s="6">
        <v>146.49</v>
      </c>
      <c r="G52" s="7">
        <v>234791100</v>
      </c>
      <c r="H52" t="s">
        <v>71</v>
      </c>
    </row>
    <row r="53" spans="1:8" ht="18" x14ac:dyDescent="0.2">
      <c r="A53" s="5">
        <v>44409</v>
      </c>
      <c r="B53" s="6">
        <v>152.03</v>
      </c>
      <c r="C53" s="6">
        <v>163.83000000000001</v>
      </c>
      <c r="D53" s="6">
        <v>149.52000000000001</v>
      </c>
      <c r="E53" s="6">
        <v>159.94999999999999</v>
      </c>
      <c r="F53" s="6">
        <v>143.15</v>
      </c>
      <c r="G53" s="7">
        <v>208085700</v>
      </c>
      <c r="H53" t="s">
        <v>71</v>
      </c>
    </row>
    <row r="54" spans="1:8" ht="18" x14ac:dyDescent="0.2">
      <c r="A54" s="5">
        <v>44378</v>
      </c>
      <c r="B54" s="6">
        <v>156.26</v>
      </c>
      <c r="C54" s="6">
        <v>159.16</v>
      </c>
      <c r="D54" s="6">
        <v>145.71</v>
      </c>
      <c r="E54" s="6">
        <v>151.78</v>
      </c>
      <c r="F54" s="6">
        <v>135.06</v>
      </c>
      <c r="G54" s="7">
        <v>280571500</v>
      </c>
      <c r="H54" t="s">
        <v>71</v>
      </c>
    </row>
    <row r="55" spans="1:8" ht="18" x14ac:dyDescent="0.2">
      <c r="A55" s="5">
        <v>44348</v>
      </c>
      <c r="B55" s="6">
        <v>165.87</v>
      </c>
      <c r="C55" s="6">
        <v>167.44</v>
      </c>
      <c r="D55" s="6">
        <v>147.56</v>
      </c>
      <c r="E55" s="6">
        <v>155.54</v>
      </c>
      <c r="F55" s="6">
        <v>138.4</v>
      </c>
      <c r="G55" s="7">
        <v>356723300</v>
      </c>
      <c r="H55" t="s">
        <v>71</v>
      </c>
    </row>
    <row r="56" spans="1:8" ht="18" x14ac:dyDescent="0.2">
      <c r="A56" s="5">
        <v>44317</v>
      </c>
      <c r="B56" s="6">
        <v>154.85</v>
      </c>
      <c r="C56" s="6">
        <v>165.7</v>
      </c>
      <c r="D56" s="6">
        <v>152.13999999999999</v>
      </c>
      <c r="E56" s="6">
        <v>164.24</v>
      </c>
      <c r="F56" s="6">
        <v>146.13999999999999</v>
      </c>
      <c r="G56" s="7">
        <v>248957700</v>
      </c>
      <c r="H56" t="s">
        <v>71</v>
      </c>
    </row>
    <row r="57" spans="1:8" ht="18" x14ac:dyDescent="0.2">
      <c r="A57" s="5">
        <v>44287</v>
      </c>
      <c r="B57" s="6">
        <v>151.9</v>
      </c>
      <c r="C57" s="6">
        <v>157.25</v>
      </c>
      <c r="D57" s="6">
        <v>146.69</v>
      </c>
      <c r="E57" s="6">
        <v>153.81</v>
      </c>
      <c r="F57" s="6">
        <v>136.06</v>
      </c>
      <c r="G57" s="7">
        <v>288694200</v>
      </c>
      <c r="H57" t="s">
        <v>71</v>
      </c>
    </row>
    <row r="58" spans="1:8" ht="18" x14ac:dyDescent="0.2">
      <c r="A58" s="5">
        <v>44256</v>
      </c>
      <c r="B58" s="6">
        <v>149.52000000000001</v>
      </c>
      <c r="C58" s="6">
        <v>161.69</v>
      </c>
      <c r="D58" s="6">
        <v>147.97</v>
      </c>
      <c r="E58" s="6">
        <v>152.22999999999999</v>
      </c>
      <c r="F58" s="6">
        <v>134.66</v>
      </c>
      <c r="G58" s="7">
        <v>399416900</v>
      </c>
      <c r="H58" t="s">
        <v>71</v>
      </c>
    </row>
    <row r="59" spans="1:8" ht="18" x14ac:dyDescent="0.2">
      <c r="A59" s="5">
        <v>44228</v>
      </c>
      <c r="B59" s="6">
        <v>129.4</v>
      </c>
      <c r="C59" s="6">
        <v>154.9</v>
      </c>
      <c r="D59" s="6">
        <v>128.47999999999999</v>
      </c>
      <c r="E59" s="6">
        <v>147.16999999999999</v>
      </c>
      <c r="F59" s="6">
        <v>130.19</v>
      </c>
      <c r="G59" s="7">
        <v>229245300</v>
      </c>
      <c r="H59" t="s">
        <v>71</v>
      </c>
    </row>
    <row r="60" spans="1:8" ht="18" x14ac:dyDescent="0.2">
      <c r="A60" s="5">
        <v>44197</v>
      </c>
      <c r="B60" s="6">
        <v>127.5</v>
      </c>
      <c r="C60" s="6">
        <v>142.75</v>
      </c>
      <c r="D60" s="6">
        <v>123.77</v>
      </c>
      <c r="E60" s="6">
        <v>128.66999999999999</v>
      </c>
      <c r="F60" s="6">
        <v>113.01</v>
      </c>
      <c r="G60" s="7">
        <v>318582400</v>
      </c>
      <c r="H60" t="s">
        <v>71</v>
      </c>
    </row>
    <row r="61" spans="1:8" ht="18" x14ac:dyDescent="0.2">
      <c r="A61" s="5">
        <v>44166</v>
      </c>
      <c r="B61" s="6">
        <v>120.34</v>
      </c>
      <c r="C61" s="6">
        <v>127.33</v>
      </c>
      <c r="D61" s="6">
        <v>118.11</v>
      </c>
      <c r="E61" s="6">
        <v>127.07</v>
      </c>
      <c r="F61" s="6">
        <v>111.6</v>
      </c>
      <c r="G61" s="7">
        <v>274143300</v>
      </c>
      <c r="H61" t="s">
        <v>71</v>
      </c>
    </row>
    <row r="62" spans="1:8" ht="18" x14ac:dyDescent="0.2">
      <c r="A62" s="5">
        <v>45962</v>
      </c>
      <c r="B62" s="6">
        <v>53.26</v>
      </c>
      <c r="C62" s="6">
        <v>54.69</v>
      </c>
      <c r="D62" s="6">
        <v>51.74</v>
      </c>
      <c r="E62" s="6">
        <v>52.61</v>
      </c>
      <c r="F62" s="6">
        <v>52.61</v>
      </c>
      <c r="G62" s="7">
        <v>387610300</v>
      </c>
      <c r="H62" t="s">
        <v>72</v>
      </c>
    </row>
    <row r="63" spans="1:8" ht="18" x14ac:dyDescent="0.2">
      <c r="A63" s="5">
        <v>45931</v>
      </c>
      <c r="B63" s="6">
        <v>51.3</v>
      </c>
      <c r="C63" s="6">
        <v>53.64</v>
      </c>
      <c r="D63" s="6">
        <v>48.53</v>
      </c>
      <c r="E63" s="6">
        <v>53.45</v>
      </c>
      <c r="F63" s="6">
        <v>53.45</v>
      </c>
      <c r="G63" s="7">
        <v>762970500</v>
      </c>
      <c r="H63" t="s">
        <v>72</v>
      </c>
    </row>
    <row r="64" spans="1:8" ht="18" x14ac:dyDescent="0.2">
      <c r="A64" s="5">
        <v>45901</v>
      </c>
      <c r="B64" s="6">
        <v>50.22</v>
      </c>
      <c r="C64" s="6">
        <v>52.88</v>
      </c>
      <c r="D64" s="6">
        <v>48.88</v>
      </c>
      <c r="E64" s="6">
        <v>51.59</v>
      </c>
      <c r="F64" s="6">
        <v>51.3</v>
      </c>
      <c r="G64" s="7">
        <v>754239800</v>
      </c>
      <c r="H64" t="s">
        <v>72</v>
      </c>
    </row>
    <row r="65" spans="1:8" ht="18" x14ac:dyDescent="0.2">
      <c r="A65" s="5">
        <v>45870</v>
      </c>
      <c r="B65" s="6">
        <v>46.36</v>
      </c>
      <c r="C65" s="6">
        <v>50.92</v>
      </c>
      <c r="D65" s="6">
        <v>44.75</v>
      </c>
      <c r="E65" s="6">
        <v>50.74</v>
      </c>
      <c r="F65" s="6">
        <v>50.46</v>
      </c>
      <c r="G65" s="7">
        <v>728384200</v>
      </c>
      <c r="H65" t="s">
        <v>72</v>
      </c>
    </row>
    <row r="66" spans="1:8" ht="18" x14ac:dyDescent="0.2">
      <c r="A66" s="5">
        <v>45839</v>
      </c>
      <c r="B66" s="6">
        <v>47.02</v>
      </c>
      <c r="C66" s="6">
        <v>49.31</v>
      </c>
      <c r="D66" s="6">
        <v>45.01</v>
      </c>
      <c r="E66" s="6">
        <v>47.27</v>
      </c>
      <c r="F66" s="6">
        <v>47.01</v>
      </c>
      <c r="G66" s="7">
        <v>906389900</v>
      </c>
      <c r="H66" t="s">
        <v>72</v>
      </c>
    </row>
    <row r="67" spans="1:8" ht="18" x14ac:dyDescent="0.2">
      <c r="A67" s="5">
        <v>45809</v>
      </c>
      <c r="B67" s="6">
        <v>43.88</v>
      </c>
      <c r="C67" s="6">
        <v>47.67</v>
      </c>
      <c r="D67" s="6">
        <v>43.36</v>
      </c>
      <c r="E67" s="6">
        <v>47.32</v>
      </c>
      <c r="F67" s="6">
        <v>46.78</v>
      </c>
      <c r="G67" s="7">
        <v>775768400</v>
      </c>
      <c r="H67" t="s">
        <v>72</v>
      </c>
    </row>
    <row r="68" spans="1:8" ht="18" x14ac:dyDescent="0.2">
      <c r="A68" s="5">
        <v>45778</v>
      </c>
      <c r="B68" s="6">
        <v>39.82</v>
      </c>
      <c r="C68" s="6">
        <v>45.14</v>
      </c>
      <c r="D68" s="6">
        <v>39.58</v>
      </c>
      <c r="E68" s="6">
        <v>44.13</v>
      </c>
      <c r="F68" s="6">
        <v>43.63</v>
      </c>
      <c r="G68" s="7">
        <v>822871900</v>
      </c>
      <c r="H68" t="s">
        <v>72</v>
      </c>
    </row>
    <row r="69" spans="1:8" ht="18" x14ac:dyDescent="0.2">
      <c r="A69" s="5">
        <v>45748</v>
      </c>
      <c r="B69" s="6">
        <v>41.32</v>
      </c>
      <c r="C69" s="6">
        <v>41.97</v>
      </c>
      <c r="D69" s="6">
        <v>33.07</v>
      </c>
      <c r="E69" s="6">
        <v>39.880000000000003</v>
      </c>
      <c r="F69" s="6">
        <v>39.43</v>
      </c>
      <c r="G69" s="7">
        <v>1359333800</v>
      </c>
      <c r="H69" t="s">
        <v>72</v>
      </c>
    </row>
    <row r="70" spans="1:8" ht="18" x14ac:dyDescent="0.2">
      <c r="A70" s="5">
        <v>45717</v>
      </c>
      <c r="B70" s="6">
        <v>46.21</v>
      </c>
      <c r="C70" s="6">
        <v>46.96</v>
      </c>
      <c r="D70" s="6">
        <v>39.18</v>
      </c>
      <c r="E70" s="6">
        <v>41.73</v>
      </c>
      <c r="F70" s="6">
        <v>41</v>
      </c>
      <c r="G70" s="7">
        <v>936464600</v>
      </c>
      <c r="H70" t="s">
        <v>72</v>
      </c>
    </row>
    <row r="71" spans="1:8" ht="18" x14ac:dyDescent="0.2">
      <c r="A71" s="5">
        <v>45689</v>
      </c>
      <c r="B71" s="6">
        <v>45.42</v>
      </c>
      <c r="C71" s="6">
        <v>47.98</v>
      </c>
      <c r="D71" s="6">
        <v>43.35</v>
      </c>
      <c r="E71" s="6">
        <v>46.1</v>
      </c>
      <c r="F71" s="6">
        <v>45.29</v>
      </c>
      <c r="G71" s="7">
        <v>650240100</v>
      </c>
      <c r="H71" t="s">
        <v>72</v>
      </c>
    </row>
    <row r="72" spans="1:8" ht="18" x14ac:dyDescent="0.2">
      <c r="A72" s="5">
        <v>45658</v>
      </c>
      <c r="B72" s="6">
        <v>44.14</v>
      </c>
      <c r="C72" s="6">
        <v>47.51</v>
      </c>
      <c r="D72" s="6">
        <v>43.8</v>
      </c>
      <c r="E72" s="6">
        <v>46.3</v>
      </c>
      <c r="F72" s="6">
        <v>45.49</v>
      </c>
      <c r="G72" s="7">
        <v>739447500</v>
      </c>
      <c r="H72" t="s">
        <v>72</v>
      </c>
    </row>
    <row r="73" spans="1:8" ht="18" x14ac:dyDescent="0.2">
      <c r="A73" s="5">
        <v>45627</v>
      </c>
      <c r="B73" s="6">
        <v>47.74</v>
      </c>
      <c r="C73" s="6">
        <v>47.82</v>
      </c>
      <c r="D73" s="6">
        <v>42.78</v>
      </c>
      <c r="E73" s="6">
        <v>43.95</v>
      </c>
      <c r="F73" s="6">
        <v>42.94</v>
      </c>
      <c r="G73" s="7">
        <v>652159200</v>
      </c>
      <c r="H73" t="s">
        <v>72</v>
      </c>
    </row>
    <row r="74" spans="1:8" ht="18" x14ac:dyDescent="0.2">
      <c r="A74" s="5">
        <v>45597</v>
      </c>
      <c r="B74" s="6">
        <v>42.15</v>
      </c>
      <c r="C74" s="6">
        <v>48.08</v>
      </c>
      <c r="D74" s="6">
        <v>41.11</v>
      </c>
      <c r="E74" s="6">
        <v>47.51</v>
      </c>
      <c r="F74" s="6">
        <v>46.42</v>
      </c>
      <c r="G74" s="7">
        <v>776323600</v>
      </c>
      <c r="H74" t="s">
        <v>72</v>
      </c>
    </row>
    <row r="75" spans="1:8" ht="18" x14ac:dyDescent="0.2">
      <c r="A75" s="5">
        <v>45566</v>
      </c>
      <c r="B75" s="6">
        <v>39.51</v>
      </c>
      <c r="C75" s="6">
        <v>43.36</v>
      </c>
      <c r="D75" s="6">
        <v>38.729999999999997</v>
      </c>
      <c r="E75" s="6">
        <v>41.82</v>
      </c>
      <c r="F75" s="6">
        <v>40.86</v>
      </c>
      <c r="G75" s="7">
        <v>722829900</v>
      </c>
      <c r="H75" t="s">
        <v>72</v>
      </c>
    </row>
    <row r="76" spans="1:8" ht="18" x14ac:dyDescent="0.2">
      <c r="A76" s="5">
        <v>45536</v>
      </c>
      <c r="B76" s="6">
        <v>40.58</v>
      </c>
      <c r="C76" s="6">
        <v>41.05</v>
      </c>
      <c r="D76" s="6">
        <v>38.01</v>
      </c>
      <c r="E76" s="6">
        <v>39.68</v>
      </c>
      <c r="F76" s="6">
        <v>38.520000000000003</v>
      </c>
      <c r="G76" s="7">
        <v>794903800</v>
      </c>
      <c r="H76" t="s">
        <v>72</v>
      </c>
    </row>
    <row r="77" spans="1:8" ht="18" x14ac:dyDescent="0.2">
      <c r="A77" s="5">
        <v>45505</v>
      </c>
      <c r="B77" s="6">
        <v>40.44</v>
      </c>
      <c r="C77" s="6">
        <v>40.86</v>
      </c>
      <c r="D77" s="6">
        <v>35.14</v>
      </c>
      <c r="E77" s="6">
        <v>40.75</v>
      </c>
      <c r="F77" s="6">
        <v>39.56</v>
      </c>
      <c r="G77" s="7">
        <v>894057800</v>
      </c>
      <c r="H77" t="s">
        <v>72</v>
      </c>
    </row>
    <row r="78" spans="1:8" ht="18" x14ac:dyDescent="0.2">
      <c r="A78" s="5">
        <v>45474</v>
      </c>
      <c r="B78" s="6">
        <v>39.909999999999997</v>
      </c>
      <c r="C78" s="6">
        <v>44.44</v>
      </c>
      <c r="D78" s="6">
        <v>39.67</v>
      </c>
      <c r="E78" s="6">
        <v>40.31</v>
      </c>
      <c r="F78" s="6">
        <v>39.130000000000003</v>
      </c>
      <c r="G78" s="7">
        <v>868095500</v>
      </c>
      <c r="H78" t="s">
        <v>72</v>
      </c>
    </row>
    <row r="79" spans="1:8" ht="18" x14ac:dyDescent="0.2">
      <c r="A79" s="5">
        <v>45444</v>
      </c>
      <c r="B79" s="6">
        <v>40.04</v>
      </c>
      <c r="C79" s="6">
        <v>40.340000000000003</v>
      </c>
      <c r="D79" s="6">
        <v>38.340000000000003</v>
      </c>
      <c r="E79" s="6">
        <v>39.770000000000003</v>
      </c>
      <c r="F79" s="6">
        <v>38.369999999999997</v>
      </c>
      <c r="G79" s="7">
        <v>696786300</v>
      </c>
      <c r="H79" t="s">
        <v>72</v>
      </c>
    </row>
    <row r="80" spans="1:8" ht="18" x14ac:dyDescent="0.2">
      <c r="A80" s="5">
        <v>45413</v>
      </c>
      <c r="B80" s="6">
        <v>37.21</v>
      </c>
      <c r="C80" s="6">
        <v>40.08</v>
      </c>
      <c r="D80" s="6">
        <v>36.65</v>
      </c>
      <c r="E80" s="6">
        <v>39.99</v>
      </c>
      <c r="F80" s="6">
        <v>38.58</v>
      </c>
      <c r="G80" s="7">
        <v>720885600</v>
      </c>
      <c r="H80" t="s">
        <v>72</v>
      </c>
    </row>
    <row r="81" spans="1:8" ht="18" x14ac:dyDescent="0.2">
      <c r="A81" s="5">
        <v>45383</v>
      </c>
      <c r="B81" s="6">
        <v>37.94</v>
      </c>
      <c r="C81" s="6">
        <v>38.49</v>
      </c>
      <c r="D81" s="6">
        <v>34.15</v>
      </c>
      <c r="E81" s="6">
        <v>37.01</v>
      </c>
      <c r="F81" s="6">
        <v>35.71</v>
      </c>
      <c r="G81" s="7">
        <v>904458100</v>
      </c>
      <c r="H81" t="s">
        <v>72</v>
      </c>
    </row>
    <row r="82" spans="1:8" ht="18" x14ac:dyDescent="0.2">
      <c r="A82" s="5">
        <v>45352</v>
      </c>
      <c r="B82" s="6">
        <v>34.53</v>
      </c>
      <c r="C82" s="6">
        <v>38</v>
      </c>
      <c r="D82" s="6">
        <v>34.03</v>
      </c>
      <c r="E82" s="6">
        <v>37.92</v>
      </c>
      <c r="F82" s="6">
        <v>36.590000000000003</v>
      </c>
      <c r="G82" s="7">
        <v>826724200</v>
      </c>
      <c r="H82" t="s">
        <v>72</v>
      </c>
    </row>
    <row r="83" spans="1:8" ht="18" x14ac:dyDescent="0.2">
      <c r="A83" s="5">
        <v>45323</v>
      </c>
      <c r="B83" s="6">
        <v>33.93</v>
      </c>
      <c r="C83" s="6">
        <v>34.65</v>
      </c>
      <c r="D83" s="6">
        <v>32.35</v>
      </c>
      <c r="E83" s="6">
        <v>34.520000000000003</v>
      </c>
      <c r="F83" s="6">
        <v>33.07</v>
      </c>
      <c r="G83" s="7">
        <v>748360100</v>
      </c>
      <c r="H83" t="s">
        <v>72</v>
      </c>
    </row>
    <row r="84" spans="1:8" ht="18" x14ac:dyDescent="0.2">
      <c r="A84" s="5">
        <v>45292</v>
      </c>
      <c r="B84" s="6">
        <v>33.39</v>
      </c>
      <c r="C84" s="6">
        <v>35.1</v>
      </c>
      <c r="D84" s="6">
        <v>31.27</v>
      </c>
      <c r="E84" s="6">
        <v>34.01</v>
      </c>
      <c r="F84" s="6">
        <v>32.58</v>
      </c>
      <c r="G84" s="7">
        <v>934161500</v>
      </c>
      <c r="H84" t="s">
        <v>72</v>
      </c>
    </row>
    <row r="85" spans="1:8" ht="18" x14ac:dyDescent="0.2">
      <c r="A85" s="5">
        <v>45261</v>
      </c>
      <c r="B85" s="6">
        <v>30.4</v>
      </c>
      <c r="C85" s="6">
        <v>34.07</v>
      </c>
      <c r="D85" s="6">
        <v>30.33</v>
      </c>
      <c r="E85" s="6">
        <v>33.67</v>
      </c>
      <c r="F85" s="6">
        <v>32.26</v>
      </c>
      <c r="G85" s="7">
        <v>863795100</v>
      </c>
      <c r="H85" t="s">
        <v>72</v>
      </c>
    </row>
    <row r="86" spans="1:8" ht="18" x14ac:dyDescent="0.2">
      <c r="A86" s="5">
        <v>45231</v>
      </c>
      <c r="B86" s="6">
        <v>26.44</v>
      </c>
      <c r="C86" s="6">
        <v>30.61</v>
      </c>
      <c r="D86" s="6">
        <v>26.15</v>
      </c>
      <c r="E86" s="6">
        <v>30.49</v>
      </c>
      <c r="F86" s="6">
        <v>28.98</v>
      </c>
      <c r="G86" s="7">
        <v>891085100</v>
      </c>
      <c r="H86" t="s">
        <v>72</v>
      </c>
    </row>
    <row r="87" spans="1:8" ht="18" x14ac:dyDescent="0.2">
      <c r="A87" s="5">
        <v>45200</v>
      </c>
      <c r="B87" s="6">
        <v>27.27</v>
      </c>
      <c r="C87" s="6">
        <v>28.04</v>
      </c>
      <c r="D87" s="6">
        <v>24.96</v>
      </c>
      <c r="E87" s="6">
        <v>26.34</v>
      </c>
      <c r="F87" s="6">
        <v>25.04</v>
      </c>
      <c r="G87" s="7">
        <v>1225398800</v>
      </c>
      <c r="H87" t="s">
        <v>72</v>
      </c>
    </row>
    <row r="88" spans="1:8" ht="18" x14ac:dyDescent="0.2">
      <c r="A88" s="5">
        <v>45170</v>
      </c>
      <c r="B88" s="6">
        <v>28.76</v>
      </c>
      <c r="C88" s="6">
        <v>29.44</v>
      </c>
      <c r="D88" s="6">
        <v>27.01</v>
      </c>
      <c r="E88" s="6">
        <v>27.38</v>
      </c>
      <c r="F88" s="6">
        <v>26.02</v>
      </c>
      <c r="G88" s="7">
        <v>777431200</v>
      </c>
      <c r="H88" t="s">
        <v>72</v>
      </c>
    </row>
    <row r="89" spans="1:8" ht="18" x14ac:dyDescent="0.2">
      <c r="A89" s="5">
        <v>45139</v>
      </c>
      <c r="B89" s="6">
        <v>31.84</v>
      </c>
      <c r="C89" s="6">
        <v>31.94</v>
      </c>
      <c r="D89" s="6">
        <v>28.18</v>
      </c>
      <c r="E89" s="6">
        <v>28.67</v>
      </c>
      <c r="F89" s="6">
        <v>27.02</v>
      </c>
      <c r="G89" s="7">
        <v>809814400</v>
      </c>
      <c r="H89" t="s">
        <v>72</v>
      </c>
    </row>
    <row r="90" spans="1:8" ht="18" x14ac:dyDescent="0.2">
      <c r="A90" s="5">
        <v>45108</v>
      </c>
      <c r="B90" s="6">
        <v>28.7</v>
      </c>
      <c r="C90" s="6">
        <v>32.85</v>
      </c>
      <c r="D90" s="6">
        <v>28.1</v>
      </c>
      <c r="E90" s="6">
        <v>32</v>
      </c>
      <c r="F90" s="6">
        <v>30.16</v>
      </c>
      <c r="G90" s="7">
        <v>968946700</v>
      </c>
      <c r="H90" t="s">
        <v>72</v>
      </c>
    </row>
    <row r="91" spans="1:8" ht="18" x14ac:dyDescent="0.2">
      <c r="A91" s="5">
        <v>45078</v>
      </c>
      <c r="B91" s="6">
        <v>27.76</v>
      </c>
      <c r="C91" s="6">
        <v>29.8</v>
      </c>
      <c r="D91" s="6">
        <v>27.34</v>
      </c>
      <c r="E91" s="6">
        <v>28.69</v>
      </c>
      <c r="F91" s="6">
        <v>26.83</v>
      </c>
      <c r="G91" s="7">
        <v>968664200</v>
      </c>
      <c r="H91" t="s">
        <v>72</v>
      </c>
    </row>
    <row r="92" spans="1:8" ht="18" x14ac:dyDescent="0.2">
      <c r="A92" s="5">
        <v>45047</v>
      </c>
      <c r="B92" s="6">
        <v>29.5</v>
      </c>
      <c r="C92" s="6">
        <v>29.54</v>
      </c>
      <c r="D92" s="6">
        <v>26.83</v>
      </c>
      <c r="E92" s="6">
        <v>27.79</v>
      </c>
      <c r="F92" s="6">
        <v>25.99</v>
      </c>
      <c r="G92" s="7">
        <v>1047826900</v>
      </c>
      <c r="H92" t="s">
        <v>72</v>
      </c>
    </row>
    <row r="93" spans="1:8" ht="18" x14ac:dyDescent="0.2">
      <c r="A93" s="5">
        <v>45017</v>
      </c>
      <c r="B93" s="6">
        <v>28.64</v>
      </c>
      <c r="C93" s="6">
        <v>30.93</v>
      </c>
      <c r="D93" s="6">
        <v>27.46</v>
      </c>
      <c r="E93" s="6">
        <v>29.28</v>
      </c>
      <c r="F93" s="6">
        <v>27.38</v>
      </c>
      <c r="G93" s="7">
        <v>1028255800</v>
      </c>
      <c r="H93" t="s">
        <v>72</v>
      </c>
    </row>
    <row r="94" spans="1:8" ht="18" x14ac:dyDescent="0.2">
      <c r="A94" s="5">
        <v>44986</v>
      </c>
      <c r="B94" s="6">
        <v>34.15</v>
      </c>
      <c r="C94" s="6">
        <v>34.56</v>
      </c>
      <c r="D94" s="6">
        <v>26.32</v>
      </c>
      <c r="E94" s="6">
        <v>28.6</v>
      </c>
      <c r="F94" s="6">
        <v>26.57</v>
      </c>
      <c r="G94" s="7">
        <v>2061004500</v>
      </c>
      <c r="H94" t="s">
        <v>72</v>
      </c>
    </row>
    <row r="95" spans="1:8" ht="18" x14ac:dyDescent="0.2">
      <c r="A95" s="5">
        <v>44958</v>
      </c>
      <c r="B95" s="6">
        <v>35.200000000000003</v>
      </c>
      <c r="C95" s="6">
        <v>37</v>
      </c>
      <c r="D95" s="6">
        <v>33.840000000000003</v>
      </c>
      <c r="E95" s="6">
        <v>34.299999999999997</v>
      </c>
      <c r="F95" s="6">
        <v>31.87</v>
      </c>
      <c r="G95" s="7">
        <v>616776700</v>
      </c>
      <c r="H95" t="s">
        <v>72</v>
      </c>
    </row>
    <row r="96" spans="1:8" ht="18" x14ac:dyDescent="0.2">
      <c r="A96" s="5">
        <v>44927</v>
      </c>
      <c r="B96" s="6">
        <v>33.229999999999997</v>
      </c>
      <c r="C96" s="6">
        <v>35.78</v>
      </c>
      <c r="D96" s="6">
        <v>32.89</v>
      </c>
      <c r="E96" s="6">
        <v>35.479999999999997</v>
      </c>
      <c r="F96" s="6">
        <v>32.97</v>
      </c>
      <c r="G96" s="7">
        <v>809281100</v>
      </c>
      <c r="H96" t="s">
        <v>72</v>
      </c>
    </row>
    <row r="97" spans="1:8" ht="18" x14ac:dyDescent="0.2">
      <c r="A97" s="5">
        <v>44896</v>
      </c>
      <c r="B97" s="6">
        <v>37.5</v>
      </c>
      <c r="C97" s="6">
        <v>37.69</v>
      </c>
      <c r="D97" s="6">
        <v>31.35</v>
      </c>
      <c r="E97" s="6">
        <v>33.119999999999997</v>
      </c>
      <c r="F97" s="6">
        <v>30.59</v>
      </c>
      <c r="G97" s="7">
        <v>893060200</v>
      </c>
      <c r="H97" t="s">
        <v>72</v>
      </c>
    </row>
    <row r="98" spans="1:8" ht="18" x14ac:dyDescent="0.2">
      <c r="A98" s="5">
        <v>44866</v>
      </c>
      <c r="B98" s="6">
        <v>36.44</v>
      </c>
      <c r="C98" s="6">
        <v>38.6</v>
      </c>
      <c r="D98" s="6">
        <v>35.409999999999997</v>
      </c>
      <c r="E98" s="6">
        <v>37.85</v>
      </c>
      <c r="F98" s="6">
        <v>34.96</v>
      </c>
      <c r="G98" s="7">
        <v>700345500</v>
      </c>
      <c r="H98" t="s">
        <v>72</v>
      </c>
    </row>
    <row r="99" spans="1:8" ht="18" x14ac:dyDescent="0.2">
      <c r="A99" s="5">
        <v>44835</v>
      </c>
      <c r="B99" s="6">
        <v>30.59</v>
      </c>
      <c r="C99" s="6">
        <v>36.369999999999997</v>
      </c>
      <c r="D99" s="6">
        <v>29.31</v>
      </c>
      <c r="E99" s="6">
        <v>36.04</v>
      </c>
      <c r="F99" s="6">
        <v>33.29</v>
      </c>
      <c r="G99" s="7">
        <v>980931500</v>
      </c>
      <c r="H99" t="s">
        <v>72</v>
      </c>
    </row>
    <row r="100" spans="1:8" ht="18" x14ac:dyDescent="0.2">
      <c r="A100" s="5">
        <v>44805</v>
      </c>
      <c r="B100" s="6">
        <v>33.340000000000003</v>
      </c>
      <c r="C100" s="6">
        <v>35.630000000000003</v>
      </c>
      <c r="D100" s="6">
        <v>30.17</v>
      </c>
      <c r="E100" s="6">
        <v>30.2</v>
      </c>
      <c r="F100" s="6">
        <v>27.71</v>
      </c>
      <c r="G100" s="7">
        <v>860183900</v>
      </c>
      <c r="H100" t="s">
        <v>72</v>
      </c>
    </row>
    <row r="101" spans="1:8" ht="18" x14ac:dyDescent="0.2">
      <c r="A101" s="5">
        <v>44774</v>
      </c>
      <c r="B101" s="6">
        <v>33.619999999999997</v>
      </c>
      <c r="C101" s="6">
        <v>36.94</v>
      </c>
      <c r="D101" s="6">
        <v>33</v>
      </c>
      <c r="E101" s="6">
        <v>33.61</v>
      </c>
      <c r="F101" s="6">
        <v>30.84</v>
      </c>
      <c r="G101" s="7">
        <v>819363100</v>
      </c>
      <c r="H101" t="s">
        <v>72</v>
      </c>
    </row>
    <row r="102" spans="1:8" ht="18" x14ac:dyDescent="0.2">
      <c r="A102" s="5">
        <v>44743</v>
      </c>
      <c r="B102" s="6">
        <v>30.98</v>
      </c>
      <c r="C102" s="6">
        <v>33.979999999999997</v>
      </c>
      <c r="D102" s="6">
        <v>29.67</v>
      </c>
      <c r="E102" s="6">
        <v>33.81</v>
      </c>
      <c r="F102" s="6">
        <v>31.03</v>
      </c>
      <c r="G102" s="7">
        <v>814208000</v>
      </c>
      <c r="H102" t="s">
        <v>72</v>
      </c>
    </row>
    <row r="103" spans="1:8" ht="18" x14ac:dyDescent="0.2">
      <c r="A103" s="5">
        <v>44713</v>
      </c>
      <c r="B103" s="6">
        <v>37.46</v>
      </c>
      <c r="C103" s="6">
        <v>37.47</v>
      </c>
      <c r="D103" s="6">
        <v>30.64</v>
      </c>
      <c r="E103" s="6">
        <v>31.13</v>
      </c>
      <c r="F103" s="6">
        <v>28.4</v>
      </c>
      <c r="G103" s="7">
        <v>996294300</v>
      </c>
      <c r="H103" t="s">
        <v>72</v>
      </c>
    </row>
    <row r="104" spans="1:8" ht="18" x14ac:dyDescent="0.2">
      <c r="A104" s="5">
        <v>44682</v>
      </c>
      <c r="B104" s="6">
        <v>36.03</v>
      </c>
      <c r="C104" s="6">
        <v>38.75</v>
      </c>
      <c r="D104" s="6">
        <v>32.96</v>
      </c>
      <c r="E104" s="6">
        <v>37.200000000000003</v>
      </c>
      <c r="F104" s="6">
        <v>33.94</v>
      </c>
      <c r="G104" s="7">
        <v>1107801400</v>
      </c>
      <c r="H104" t="s">
        <v>72</v>
      </c>
    </row>
    <row r="105" spans="1:8" ht="18" x14ac:dyDescent="0.2">
      <c r="A105" s="5">
        <v>44652</v>
      </c>
      <c r="B105" s="6">
        <v>41.69</v>
      </c>
      <c r="C105" s="6">
        <v>41.74</v>
      </c>
      <c r="D105" s="6">
        <v>35.54</v>
      </c>
      <c r="E105" s="6">
        <v>35.68</v>
      </c>
      <c r="F105" s="6">
        <v>32.56</v>
      </c>
      <c r="G105" s="7">
        <v>1032209900</v>
      </c>
      <c r="H105" t="s">
        <v>72</v>
      </c>
    </row>
    <row r="106" spans="1:8" ht="18" x14ac:dyDescent="0.2">
      <c r="A106" s="5">
        <v>44621</v>
      </c>
      <c r="B106" s="6">
        <v>43.71</v>
      </c>
      <c r="C106" s="6">
        <v>44.63</v>
      </c>
      <c r="D106" s="6">
        <v>38.17</v>
      </c>
      <c r="E106" s="6">
        <v>41.22</v>
      </c>
      <c r="F106" s="6">
        <v>37.43</v>
      </c>
      <c r="G106" s="7">
        <v>1312818500</v>
      </c>
      <c r="H106" t="s">
        <v>72</v>
      </c>
    </row>
    <row r="107" spans="1:8" ht="18" x14ac:dyDescent="0.2">
      <c r="A107" s="5">
        <v>44593</v>
      </c>
      <c r="B107" s="6">
        <v>46.21</v>
      </c>
      <c r="C107" s="6">
        <v>50.11</v>
      </c>
      <c r="D107" s="6">
        <v>42.05</v>
      </c>
      <c r="E107" s="6">
        <v>44.2</v>
      </c>
      <c r="F107" s="6">
        <v>40.130000000000003</v>
      </c>
      <c r="G107" s="7">
        <v>941748700</v>
      </c>
      <c r="H107" t="s">
        <v>72</v>
      </c>
    </row>
    <row r="108" spans="1:8" ht="18" x14ac:dyDescent="0.2">
      <c r="A108" s="5">
        <v>44562</v>
      </c>
      <c r="B108" s="6">
        <v>45.09</v>
      </c>
      <c r="C108" s="6">
        <v>50.08</v>
      </c>
      <c r="D108" s="6">
        <v>42.59</v>
      </c>
      <c r="E108" s="6">
        <v>46.14</v>
      </c>
      <c r="F108" s="6">
        <v>41.89</v>
      </c>
      <c r="G108" s="7">
        <v>1225178700</v>
      </c>
      <c r="H108" t="s">
        <v>72</v>
      </c>
    </row>
    <row r="109" spans="1:8" ht="18" x14ac:dyDescent="0.2">
      <c r="A109" s="5">
        <v>44531</v>
      </c>
      <c r="B109" s="6">
        <v>45.22</v>
      </c>
      <c r="C109" s="6">
        <v>45.7</v>
      </c>
      <c r="D109" s="6">
        <v>42.7</v>
      </c>
      <c r="E109" s="6">
        <v>44.49</v>
      </c>
      <c r="F109" s="6">
        <v>40.200000000000003</v>
      </c>
      <c r="G109" s="7">
        <v>1060922000</v>
      </c>
      <c r="H109" t="s">
        <v>72</v>
      </c>
    </row>
    <row r="110" spans="1:8" ht="18" x14ac:dyDescent="0.2">
      <c r="A110" s="5">
        <v>44501</v>
      </c>
      <c r="B110" s="6">
        <v>48.1</v>
      </c>
      <c r="C110" s="6">
        <v>48.69</v>
      </c>
      <c r="D110" s="6">
        <v>44.36</v>
      </c>
      <c r="E110" s="6">
        <v>44.47</v>
      </c>
      <c r="F110" s="6">
        <v>40.18</v>
      </c>
      <c r="G110" s="7">
        <v>895399100</v>
      </c>
      <c r="H110" t="s">
        <v>72</v>
      </c>
    </row>
    <row r="111" spans="1:8" ht="18" x14ac:dyDescent="0.2">
      <c r="A111" s="5">
        <v>44470</v>
      </c>
      <c r="B111" s="6">
        <v>42.48</v>
      </c>
      <c r="C111" s="6">
        <v>48.43</v>
      </c>
      <c r="D111" s="6">
        <v>42.33</v>
      </c>
      <c r="E111" s="6">
        <v>47.78</v>
      </c>
      <c r="F111" s="6">
        <v>43.18</v>
      </c>
      <c r="G111" s="7">
        <v>917220900</v>
      </c>
      <c r="H111" t="s">
        <v>72</v>
      </c>
    </row>
    <row r="112" spans="1:8" ht="18" x14ac:dyDescent="0.2">
      <c r="A112" s="5">
        <v>44440</v>
      </c>
      <c r="B112" s="6">
        <v>41.75</v>
      </c>
      <c r="C112" s="6">
        <v>44.04</v>
      </c>
      <c r="D112" s="6">
        <v>38.36</v>
      </c>
      <c r="E112" s="6">
        <v>42.45</v>
      </c>
      <c r="F112" s="6">
        <v>38.159999999999997</v>
      </c>
      <c r="G112" s="7">
        <v>1022318600</v>
      </c>
      <c r="H112" t="s">
        <v>72</v>
      </c>
    </row>
    <row r="113" spans="1:8" ht="18" x14ac:dyDescent="0.2">
      <c r="A113" s="5">
        <v>44409</v>
      </c>
      <c r="B113" s="6">
        <v>38.4</v>
      </c>
      <c r="C113" s="6">
        <v>42.84</v>
      </c>
      <c r="D113" s="6">
        <v>37.549999999999997</v>
      </c>
      <c r="E113" s="6">
        <v>41.75</v>
      </c>
      <c r="F113" s="6">
        <v>37.53</v>
      </c>
      <c r="G113" s="7">
        <v>997266200</v>
      </c>
      <c r="H113" t="s">
        <v>72</v>
      </c>
    </row>
    <row r="114" spans="1:8" ht="18" x14ac:dyDescent="0.2">
      <c r="A114" s="5">
        <v>44378</v>
      </c>
      <c r="B114" s="6">
        <v>41.56</v>
      </c>
      <c r="C114" s="6">
        <v>41.7</v>
      </c>
      <c r="D114" s="6">
        <v>36.51</v>
      </c>
      <c r="E114" s="6">
        <v>38.36</v>
      </c>
      <c r="F114" s="6">
        <v>34.49</v>
      </c>
      <c r="G114" s="7">
        <v>1060522600</v>
      </c>
      <c r="H114" t="s">
        <v>72</v>
      </c>
    </row>
    <row r="115" spans="1:8" ht="18" x14ac:dyDescent="0.2">
      <c r="A115" s="5">
        <v>44348</v>
      </c>
      <c r="B115" s="6">
        <v>42.95</v>
      </c>
      <c r="C115" s="6">
        <v>43.49</v>
      </c>
      <c r="D115" s="6">
        <v>38.49</v>
      </c>
      <c r="E115" s="6">
        <v>41.23</v>
      </c>
      <c r="F115" s="6">
        <v>36.909999999999997</v>
      </c>
      <c r="G115" s="7">
        <v>984580900</v>
      </c>
      <c r="H115" t="s">
        <v>72</v>
      </c>
    </row>
    <row r="116" spans="1:8" ht="18" x14ac:dyDescent="0.2">
      <c r="A116" s="5">
        <v>44317</v>
      </c>
      <c r="B116" s="6">
        <v>40.869999999999997</v>
      </c>
      <c r="C116" s="6">
        <v>43.26</v>
      </c>
      <c r="D116" s="6">
        <v>39.78</v>
      </c>
      <c r="E116" s="6">
        <v>42.39</v>
      </c>
      <c r="F116" s="6">
        <v>37.950000000000003</v>
      </c>
      <c r="G116" s="7">
        <v>823509600</v>
      </c>
      <c r="H116" t="s">
        <v>72</v>
      </c>
    </row>
    <row r="117" spans="1:8" ht="18" x14ac:dyDescent="0.2">
      <c r="A117" s="5">
        <v>44287</v>
      </c>
      <c r="B117" s="6">
        <v>38.83</v>
      </c>
      <c r="C117" s="6">
        <v>41.13</v>
      </c>
      <c r="D117" s="6">
        <v>37.409999999999997</v>
      </c>
      <c r="E117" s="6">
        <v>40.53</v>
      </c>
      <c r="F117" s="6">
        <v>36.29</v>
      </c>
      <c r="G117" s="7">
        <v>1029977500</v>
      </c>
      <c r="H117" t="s">
        <v>72</v>
      </c>
    </row>
    <row r="118" spans="1:8" ht="18" x14ac:dyDescent="0.2">
      <c r="A118" s="5">
        <v>44256</v>
      </c>
      <c r="B118" s="6">
        <v>35.520000000000003</v>
      </c>
      <c r="C118" s="6">
        <v>39.97</v>
      </c>
      <c r="D118" s="6">
        <v>35.24</v>
      </c>
      <c r="E118" s="6">
        <v>38.69</v>
      </c>
      <c r="F118" s="6">
        <v>34.47</v>
      </c>
      <c r="G118" s="7">
        <v>1378848200</v>
      </c>
      <c r="H118" t="s">
        <v>72</v>
      </c>
    </row>
    <row r="119" spans="1:8" ht="18" x14ac:dyDescent="0.2">
      <c r="A119" s="5">
        <v>44228</v>
      </c>
      <c r="B119" s="6">
        <v>29.87</v>
      </c>
      <c r="C119" s="6">
        <v>37.03</v>
      </c>
      <c r="D119" s="6">
        <v>29.57</v>
      </c>
      <c r="E119" s="6">
        <v>34.71</v>
      </c>
      <c r="F119" s="6">
        <v>30.92</v>
      </c>
      <c r="G119" s="7">
        <v>949913300</v>
      </c>
      <c r="H119" t="s">
        <v>72</v>
      </c>
    </row>
    <row r="120" spans="1:8" ht="18" x14ac:dyDescent="0.2">
      <c r="A120" s="5">
        <v>44197</v>
      </c>
      <c r="B120" s="6">
        <v>30.46</v>
      </c>
      <c r="C120" s="6">
        <v>34.369999999999997</v>
      </c>
      <c r="D120" s="6">
        <v>29.59</v>
      </c>
      <c r="E120" s="6">
        <v>29.65</v>
      </c>
      <c r="F120" s="6">
        <v>26.41</v>
      </c>
      <c r="G120" s="7">
        <v>1085862900</v>
      </c>
      <c r="H120" t="s">
        <v>72</v>
      </c>
    </row>
    <row r="121" spans="1:8" ht="18" x14ac:dyDescent="0.2">
      <c r="A121" s="5">
        <v>44166</v>
      </c>
      <c r="B121" s="6">
        <v>28.74</v>
      </c>
      <c r="C121" s="6">
        <v>30.55</v>
      </c>
      <c r="D121" s="6">
        <v>28.14</v>
      </c>
      <c r="E121" s="6">
        <v>30.31</v>
      </c>
      <c r="F121" s="6">
        <v>26.83</v>
      </c>
      <c r="G121" s="7">
        <v>1027329000</v>
      </c>
      <c r="H121" t="s">
        <v>72</v>
      </c>
    </row>
    <row r="122" spans="1:8" ht="18" x14ac:dyDescent="0.2">
      <c r="A122" s="5">
        <v>45962</v>
      </c>
      <c r="B122" s="6">
        <v>87.14</v>
      </c>
      <c r="C122" s="6">
        <v>88.64</v>
      </c>
      <c r="D122" s="6">
        <v>82.96</v>
      </c>
      <c r="E122" s="6">
        <v>85.05</v>
      </c>
      <c r="F122" s="6">
        <v>84.61</v>
      </c>
      <c r="G122" s="7">
        <v>152398200</v>
      </c>
      <c r="H122" t="s">
        <v>73</v>
      </c>
    </row>
    <row r="123" spans="1:8" ht="18" x14ac:dyDescent="0.2">
      <c r="A123" s="5">
        <v>45931</v>
      </c>
      <c r="B123" s="6">
        <v>83.1</v>
      </c>
      <c r="C123" s="6">
        <v>87.47</v>
      </c>
      <c r="D123" s="6">
        <v>77.62</v>
      </c>
      <c r="E123" s="6">
        <v>86.97</v>
      </c>
      <c r="F123" s="6">
        <v>86.52</v>
      </c>
      <c r="G123" s="7">
        <v>366280200</v>
      </c>
      <c r="H123" t="s">
        <v>73</v>
      </c>
    </row>
    <row r="124" spans="1:8" ht="18" x14ac:dyDescent="0.2">
      <c r="A124" s="5">
        <v>45901</v>
      </c>
      <c r="B124" s="6">
        <v>81.709999999999994</v>
      </c>
      <c r="C124" s="6">
        <v>86.66</v>
      </c>
      <c r="D124" s="6">
        <v>78.56</v>
      </c>
      <c r="E124" s="6">
        <v>83.82</v>
      </c>
      <c r="F124" s="6">
        <v>83.38</v>
      </c>
      <c r="G124" s="7">
        <v>296633400</v>
      </c>
      <c r="H124" t="s">
        <v>73</v>
      </c>
    </row>
    <row r="125" spans="1:8" ht="18" x14ac:dyDescent="0.2">
      <c r="A125" s="5">
        <v>45870</v>
      </c>
      <c r="B125" s="6">
        <v>79.19</v>
      </c>
      <c r="C125" s="6">
        <v>83.21</v>
      </c>
      <c r="D125" s="6">
        <v>76.16</v>
      </c>
      <c r="E125" s="6">
        <v>82.18</v>
      </c>
      <c r="F125" s="6">
        <v>81.27</v>
      </c>
      <c r="G125" s="7">
        <v>284526700</v>
      </c>
      <c r="H125" t="s">
        <v>73</v>
      </c>
    </row>
    <row r="126" spans="1:8" ht="18" x14ac:dyDescent="0.2">
      <c r="A126" s="5">
        <v>45839</v>
      </c>
      <c r="B126" s="6">
        <v>80.05</v>
      </c>
      <c r="C126" s="6">
        <v>84.83</v>
      </c>
      <c r="D126" s="6">
        <v>77.72</v>
      </c>
      <c r="E126" s="6">
        <v>80.63</v>
      </c>
      <c r="F126" s="6">
        <v>79.739999999999995</v>
      </c>
      <c r="G126" s="7">
        <v>417623500</v>
      </c>
      <c r="H126" t="s">
        <v>73</v>
      </c>
    </row>
    <row r="127" spans="1:8" ht="18" x14ac:dyDescent="0.2">
      <c r="A127" s="5">
        <v>45809</v>
      </c>
      <c r="B127" s="6">
        <v>74.260000000000005</v>
      </c>
      <c r="C127" s="6">
        <v>81.099999999999994</v>
      </c>
      <c r="D127" s="6">
        <v>71.930000000000007</v>
      </c>
      <c r="E127" s="6">
        <v>80.12</v>
      </c>
      <c r="F127" s="6">
        <v>79.239999999999995</v>
      </c>
      <c r="G127" s="7">
        <v>356076100</v>
      </c>
      <c r="H127" t="s">
        <v>73</v>
      </c>
    </row>
    <row r="128" spans="1:8" ht="18" x14ac:dyDescent="0.2">
      <c r="A128" s="5">
        <v>45778</v>
      </c>
      <c r="B128" s="6">
        <v>70.760000000000005</v>
      </c>
      <c r="C128" s="6">
        <v>76.58</v>
      </c>
      <c r="D128" s="6">
        <v>70.430000000000007</v>
      </c>
      <c r="E128" s="6">
        <v>74.78</v>
      </c>
      <c r="F128" s="6">
        <v>73.55</v>
      </c>
      <c r="G128" s="7">
        <v>305735400</v>
      </c>
      <c r="H128" t="s">
        <v>73</v>
      </c>
    </row>
    <row r="129" spans="1:8" ht="18" x14ac:dyDescent="0.2">
      <c r="A129" s="5">
        <v>45748</v>
      </c>
      <c r="B129" s="6">
        <v>70.84</v>
      </c>
      <c r="C129" s="6">
        <v>72.47</v>
      </c>
      <c r="D129" s="6">
        <v>58.42</v>
      </c>
      <c r="E129" s="6">
        <v>71.010000000000005</v>
      </c>
      <c r="F129" s="6">
        <v>69.84</v>
      </c>
      <c r="G129" s="7">
        <v>493519900</v>
      </c>
      <c r="H129" t="s">
        <v>73</v>
      </c>
    </row>
    <row r="130" spans="1:8" ht="18" x14ac:dyDescent="0.2">
      <c r="A130" s="5">
        <v>45717</v>
      </c>
      <c r="B130" s="6">
        <v>78.86</v>
      </c>
      <c r="C130" s="6">
        <v>78.98</v>
      </c>
      <c r="D130" s="6">
        <v>65.52</v>
      </c>
      <c r="E130" s="6">
        <v>71.790000000000006</v>
      </c>
      <c r="F130" s="6">
        <v>70.61</v>
      </c>
      <c r="G130" s="7">
        <v>363280500</v>
      </c>
      <c r="H130" t="s">
        <v>73</v>
      </c>
    </row>
    <row r="131" spans="1:8" ht="18" x14ac:dyDescent="0.2">
      <c r="A131" s="5">
        <v>45689</v>
      </c>
      <c r="B131" s="6">
        <v>77.23</v>
      </c>
      <c r="C131" s="6">
        <v>81.5</v>
      </c>
      <c r="D131" s="6">
        <v>74.930000000000007</v>
      </c>
      <c r="E131" s="6">
        <v>78.319999999999993</v>
      </c>
      <c r="F131" s="6">
        <v>76.650000000000006</v>
      </c>
      <c r="G131" s="7">
        <v>298858000</v>
      </c>
      <c r="H131" t="s">
        <v>73</v>
      </c>
    </row>
    <row r="132" spans="1:8" ht="18" x14ac:dyDescent="0.2">
      <c r="A132" s="5">
        <v>45658</v>
      </c>
      <c r="B132" s="6">
        <v>70.48</v>
      </c>
      <c r="C132" s="6">
        <v>79.290000000000006</v>
      </c>
      <c r="D132" s="6">
        <v>69.34</v>
      </c>
      <c r="E132" s="6">
        <v>78.8</v>
      </c>
      <c r="F132" s="6">
        <v>77.12</v>
      </c>
      <c r="G132" s="7">
        <v>300692400</v>
      </c>
      <c r="H132" t="s">
        <v>73</v>
      </c>
    </row>
    <row r="133" spans="1:8" ht="18" x14ac:dyDescent="0.2">
      <c r="A133" s="5">
        <v>45627</v>
      </c>
      <c r="B133" s="6">
        <v>76.95</v>
      </c>
      <c r="C133" s="6">
        <v>76.95</v>
      </c>
      <c r="D133" s="6">
        <v>68.61</v>
      </c>
      <c r="E133" s="6">
        <v>70.239999999999995</v>
      </c>
      <c r="F133" s="6">
        <v>68.75</v>
      </c>
      <c r="G133" s="7">
        <v>322967900</v>
      </c>
      <c r="H133" t="s">
        <v>73</v>
      </c>
    </row>
    <row r="134" spans="1:8" ht="18" x14ac:dyDescent="0.2">
      <c r="A134" s="5">
        <v>45597</v>
      </c>
      <c r="B134" s="6">
        <v>65.22</v>
      </c>
      <c r="C134" s="6">
        <v>78.13</v>
      </c>
      <c r="D134" s="6">
        <v>63.05</v>
      </c>
      <c r="E134" s="6">
        <v>76.17</v>
      </c>
      <c r="F134" s="6">
        <v>74.12</v>
      </c>
      <c r="G134" s="7">
        <v>382978600</v>
      </c>
      <c r="H134" t="s">
        <v>73</v>
      </c>
    </row>
    <row r="135" spans="1:8" ht="18" x14ac:dyDescent="0.2">
      <c r="A135" s="5">
        <v>45566</v>
      </c>
      <c r="B135" s="6">
        <v>56</v>
      </c>
      <c r="C135" s="6">
        <v>66.400000000000006</v>
      </c>
      <c r="D135" s="6">
        <v>54.41</v>
      </c>
      <c r="E135" s="6">
        <v>64.92</v>
      </c>
      <c r="F135" s="6">
        <v>63.18</v>
      </c>
      <c r="G135" s="7">
        <v>387173600</v>
      </c>
      <c r="H135" t="s">
        <v>73</v>
      </c>
    </row>
    <row r="136" spans="1:8" ht="18" x14ac:dyDescent="0.2">
      <c r="A136" s="5">
        <v>45536</v>
      </c>
      <c r="B136" s="6">
        <v>58.62</v>
      </c>
      <c r="C136" s="6">
        <v>59</v>
      </c>
      <c r="D136" s="6">
        <v>50.22</v>
      </c>
      <c r="E136" s="6">
        <v>56.49</v>
      </c>
      <c r="F136" s="6">
        <v>54.97</v>
      </c>
      <c r="G136" s="7">
        <v>420231200</v>
      </c>
      <c r="H136" t="s">
        <v>73</v>
      </c>
    </row>
    <row r="137" spans="1:8" ht="18" x14ac:dyDescent="0.2">
      <c r="A137" s="5">
        <v>45505</v>
      </c>
      <c r="B137" s="6">
        <v>59.26</v>
      </c>
      <c r="C137" s="6">
        <v>59.34</v>
      </c>
      <c r="D137" s="6">
        <v>50.15</v>
      </c>
      <c r="E137" s="6">
        <v>58.47</v>
      </c>
      <c r="F137" s="6">
        <v>56.47</v>
      </c>
      <c r="G137" s="7">
        <v>348723100</v>
      </c>
      <c r="H137" t="s">
        <v>73</v>
      </c>
    </row>
    <row r="138" spans="1:8" ht="18" x14ac:dyDescent="0.2">
      <c r="A138" s="5">
        <v>45474</v>
      </c>
      <c r="B138" s="6">
        <v>59.61</v>
      </c>
      <c r="C138" s="6">
        <v>61.18</v>
      </c>
      <c r="D138" s="6">
        <v>55.6</v>
      </c>
      <c r="E138" s="6">
        <v>59.34</v>
      </c>
      <c r="F138" s="6">
        <v>57.31</v>
      </c>
      <c r="G138" s="7">
        <v>343211000</v>
      </c>
      <c r="H138" t="s">
        <v>73</v>
      </c>
    </row>
    <row r="139" spans="1:8" ht="18" x14ac:dyDescent="0.2">
      <c r="A139" s="5">
        <v>45444</v>
      </c>
      <c r="B139" s="6">
        <v>60.2</v>
      </c>
      <c r="C139" s="6">
        <v>60.2</v>
      </c>
      <c r="D139" s="6">
        <v>56.33</v>
      </c>
      <c r="E139" s="6">
        <v>59.39</v>
      </c>
      <c r="F139" s="6">
        <v>57.36</v>
      </c>
      <c r="G139" s="7">
        <v>377118800</v>
      </c>
      <c r="H139" t="s">
        <v>73</v>
      </c>
    </row>
    <row r="140" spans="1:8" ht="18" x14ac:dyDescent="0.2">
      <c r="A140" s="5">
        <v>45413</v>
      </c>
      <c r="B140" s="6">
        <v>59.58</v>
      </c>
      <c r="C140" s="6">
        <v>62.55</v>
      </c>
      <c r="D140" s="6">
        <v>58.42</v>
      </c>
      <c r="E140" s="6">
        <v>59.92</v>
      </c>
      <c r="F140" s="6">
        <v>57.54</v>
      </c>
      <c r="G140" s="7">
        <v>342804600</v>
      </c>
      <c r="H140" t="s">
        <v>73</v>
      </c>
    </row>
    <row r="141" spans="1:8" ht="18" x14ac:dyDescent="0.2">
      <c r="A141" s="5">
        <v>45383</v>
      </c>
      <c r="B141" s="6">
        <v>57.88</v>
      </c>
      <c r="C141" s="6">
        <v>61.76</v>
      </c>
      <c r="D141" s="6">
        <v>55.34</v>
      </c>
      <c r="E141" s="6">
        <v>59.32</v>
      </c>
      <c r="F141" s="6">
        <v>56.96</v>
      </c>
      <c r="G141" s="7">
        <v>413690600</v>
      </c>
      <c r="H141" t="s">
        <v>73</v>
      </c>
    </row>
    <row r="142" spans="1:8" ht="18" x14ac:dyDescent="0.2">
      <c r="A142" s="5">
        <v>45352</v>
      </c>
      <c r="B142" s="6">
        <v>55.4</v>
      </c>
      <c r="C142" s="6">
        <v>58.44</v>
      </c>
      <c r="D142" s="6">
        <v>54.73</v>
      </c>
      <c r="E142" s="6">
        <v>57.96</v>
      </c>
      <c r="F142" s="6">
        <v>55.65</v>
      </c>
      <c r="G142" s="7">
        <v>384218700</v>
      </c>
      <c r="H142" t="s">
        <v>73</v>
      </c>
    </row>
    <row r="143" spans="1:8" ht="18" x14ac:dyDescent="0.2">
      <c r="A143" s="5">
        <v>45323</v>
      </c>
      <c r="B143" s="6">
        <v>49.82</v>
      </c>
      <c r="C143" s="6">
        <v>55.7</v>
      </c>
      <c r="D143" s="6">
        <v>47.45</v>
      </c>
      <c r="E143" s="6">
        <v>55.59</v>
      </c>
      <c r="F143" s="6">
        <v>53.01</v>
      </c>
      <c r="G143" s="7">
        <v>395337800</v>
      </c>
      <c r="H143" t="s">
        <v>73</v>
      </c>
    </row>
    <row r="144" spans="1:8" ht="18" x14ac:dyDescent="0.2">
      <c r="A144" s="5">
        <v>45292</v>
      </c>
      <c r="B144" s="6">
        <v>49.05</v>
      </c>
      <c r="C144" s="6">
        <v>51.44</v>
      </c>
      <c r="D144" s="6">
        <v>46.12</v>
      </c>
      <c r="E144" s="6">
        <v>50.18</v>
      </c>
      <c r="F144" s="6">
        <v>47.85</v>
      </c>
      <c r="G144" s="7">
        <v>388441000</v>
      </c>
      <c r="H144" t="s">
        <v>73</v>
      </c>
    </row>
    <row r="145" spans="1:8" ht="18" x14ac:dyDescent="0.2">
      <c r="A145" s="5">
        <v>45261</v>
      </c>
      <c r="B145" s="6">
        <v>44.51</v>
      </c>
      <c r="C145" s="6">
        <v>50.77</v>
      </c>
      <c r="D145" s="6">
        <v>44.38</v>
      </c>
      <c r="E145" s="6">
        <v>49.22</v>
      </c>
      <c r="F145" s="6">
        <v>46.93</v>
      </c>
      <c r="G145" s="7">
        <v>382836700</v>
      </c>
      <c r="H145" t="s">
        <v>73</v>
      </c>
    </row>
    <row r="146" spans="1:8" ht="18" x14ac:dyDescent="0.2">
      <c r="A146" s="5">
        <v>45231</v>
      </c>
      <c r="B146" s="6">
        <v>39.96</v>
      </c>
      <c r="C146" s="6">
        <v>44.75</v>
      </c>
      <c r="D146" s="6">
        <v>39.28</v>
      </c>
      <c r="E146" s="6">
        <v>44.59</v>
      </c>
      <c r="F146" s="6">
        <v>42.14</v>
      </c>
      <c r="G146" s="7">
        <v>328148500</v>
      </c>
      <c r="H146" t="s">
        <v>73</v>
      </c>
    </row>
    <row r="147" spans="1:8" ht="18" x14ac:dyDescent="0.2">
      <c r="A147" s="5">
        <v>45200</v>
      </c>
      <c r="B147" s="6">
        <v>40.700000000000003</v>
      </c>
      <c r="C147" s="6">
        <v>42.37</v>
      </c>
      <c r="D147" s="6">
        <v>38.39</v>
      </c>
      <c r="E147" s="6">
        <v>39.770000000000003</v>
      </c>
      <c r="F147" s="6">
        <v>37.590000000000003</v>
      </c>
      <c r="G147" s="7">
        <v>341744500</v>
      </c>
      <c r="H147" t="s">
        <v>73</v>
      </c>
    </row>
    <row r="148" spans="1:8" ht="18" x14ac:dyDescent="0.2">
      <c r="A148" s="5">
        <v>45170</v>
      </c>
      <c r="B148" s="6">
        <v>41.55</v>
      </c>
      <c r="C148" s="6">
        <v>43.74</v>
      </c>
      <c r="D148" s="6">
        <v>40.299999999999997</v>
      </c>
      <c r="E148" s="6">
        <v>40.86</v>
      </c>
      <c r="F148" s="6">
        <v>38.619999999999997</v>
      </c>
      <c r="G148" s="7">
        <v>333548000</v>
      </c>
      <c r="H148" t="s">
        <v>73</v>
      </c>
    </row>
    <row r="149" spans="1:8" ht="18" x14ac:dyDescent="0.2">
      <c r="A149" s="5">
        <v>45139</v>
      </c>
      <c r="B149" s="6">
        <v>46.01</v>
      </c>
      <c r="C149" s="6">
        <v>46.16</v>
      </c>
      <c r="D149" s="6">
        <v>40.770000000000003</v>
      </c>
      <c r="E149" s="6">
        <v>41.29</v>
      </c>
      <c r="F149" s="6">
        <v>38.72</v>
      </c>
      <c r="G149" s="7">
        <v>284173100</v>
      </c>
      <c r="H149" t="s">
        <v>73</v>
      </c>
    </row>
    <row r="150" spans="1:8" ht="18" x14ac:dyDescent="0.2">
      <c r="A150" s="5">
        <v>45108</v>
      </c>
      <c r="B150" s="6">
        <v>42.88</v>
      </c>
      <c r="C150" s="6">
        <v>47.24</v>
      </c>
      <c r="D150" s="6">
        <v>42.07</v>
      </c>
      <c r="E150" s="6">
        <v>46.16</v>
      </c>
      <c r="F150" s="6">
        <v>43.29</v>
      </c>
      <c r="G150" s="7">
        <v>340830500</v>
      </c>
      <c r="H150" t="s">
        <v>73</v>
      </c>
    </row>
    <row r="151" spans="1:8" ht="18" x14ac:dyDescent="0.2">
      <c r="A151" s="5">
        <v>45078</v>
      </c>
      <c r="B151" s="6">
        <v>40.21</v>
      </c>
      <c r="C151" s="6">
        <v>43.34</v>
      </c>
      <c r="D151" s="6">
        <v>39.68</v>
      </c>
      <c r="E151" s="6">
        <v>42.68</v>
      </c>
      <c r="F151" s="6">
        <v>40.020000000000003</v>
      </c>
      <c r="G151" s="7">
        <v>363195000</v>
      </c>
      <c r="H151" t="s">
        <v>73</v>
      </c>
    </row>
    <row r="152" spans="1:8" ht="18" x14ac:dyDescent="0.2">
      <c r="A152" s="5">
        <v>45047</v>
      </c>
      <c r="B152" s="6">
        <v>40.49</v>
      </c>
      <c r="C152" s="6">
        <v>42.12</v>
      </c>
      <c r="D152" s="6">
        <v>36.4</v>
      </c>
      <c r="E152" s="6">
        <v>39.81</v>
      </c>
      <c r="F152" s="6">
        <v>37.04</v>
      </c>
      <c r="G152" s="7">
        <v>538516100</v>
      </c>
      <c r="H152" t="s">
        <v>73</v>
      </c>
    </row>
    <row r="153" spans="1:8" ht="18" x14ac:dyDescent="0.2">
      <c r="A153" s="5">
        <v>45017</v>
      </c>
      <c r="B153" s="6">
        <v>37.520000000000003</v>
      </c>
      <c r="C153" s="6">
        <v>42.41</v>
      </c>
      <c r="D153" s="6">
        <v>36.270000000000003</v>
      </c>
      <c r="E153" s="6">
        <v>39.75</v>
      </c>
      <c r="F153" s="6">
        <v>36.99</v>
      </c>
      <c r="G153" s="7">
        <v>450940100</v>
      </c>
      <c r="H153" t="s">
        <v>73</v>
      </c>
    </row>
    <row r="154" spans="1:8" ht="18" x14ac:dyDescent="0.2">
      <c r="A154" s="5">
        <v>44986</v>
      </c>
      <c r="B154" s="6">
        <v>46.5</v>
      </c>
      <c r="C154" s="6">
        <v>47.18</v>
      </c>
      <c r="D154" s="6">
        <v>35.25</v>
      </c>
      <c r="E154" s="6">
        <v>37.380000000000003</v>
      </c>
      <c r="F154" s="6">
        <v>34.78</v>
      </c>
      <c r="G154" s="7">
        <v>730423100</v>
      </c>
      <c r="H154" t="s">
        <v>73</v>
      </c>
    </row>
    <row r="155" spans="1:8" ht="18" x14ac:dyDescent="0.2">
      <c r="A155" s="5">
        <v>44958</v>
      </c>
      <c r="B155" s="6">
        <v>46.66</v>
      </c>
      <c r="C155" s="6">
        <v>48.84</v>
      </c>
      <c r="D155" s="6">
        <v>45.69</v>
      </c>
      <c r="E155" s="6">
        <v>46.77</v>
      </c>
      <c r="F155" s="6">
        <v>43.24</v>
      </c>
      <c r="G155" s="7">
        <v>314575300</v>
      </c>
      <c r="H155" t="s">
        <v>73</v>
      </c>
    </row>
    <row r="156" spans="1:8" ht="18" x14ac:dyDescent="0.2">
      <c r="A156" s="5">
        <v>44927</v>
      </c>
      <c r="B156" s="6">
        <v>41.61</v>
      </c>
      <c r="C156" s="6">
        <v>46.88</v>
      </c>
      <c r="D156" s="6">
        <v>40.46</v>
      </c>
      <c r="E156" s="6">
        <v>46.87</v>
      </c>
      <c r="F156" s="6">
        <v>43.34</v>
      </c>
      <c r="G156" s="7">
        <v>398335300</v>
      </c>
      <c r="H156" t="s">
        <v>73</v>
      </c>
    </row>
    <row r="157" spans="1:8" ht="18" x14ac:dyDescent="0.2">
      <c r="A157" s="5">
        <v>44896</v>
      </c>
      <c r="B157" s="6">
        <v>47.93</v>
      </c>
      <c r="C157" s="6">
        <v>48.18</v>
      </c>
      <c r="D157" s="6">
        <v>40.020000000000003</v>
      </c>
      <c r="E157" s="6">
        <v>41.29</v>
      </c>
      <c r="F157" s="6">
        <v>38.18</v>
      </c>
      <c r="G157" s="7">
        <v>414604800</v>
      </c>
      <c r="H157" t="s">
        <v>73</v>
      </c>
    </row>
    <row r="158" spans="1:8" ht="18" x14ac:dyDescent="0.2">
      <c r="A158" s="5">
        <v>44866</v>
      </c>
      <c r="B158" s="6">
        <v>46.58</v>
      </c>
      <c r="C158" s="6">
        <v>48.36</v>
      </c>
      <c r="D158" s="6">
        <v>45.41</v>
      </c>
      <c r="E158" s="6">
        <v>47.95</v>
      </c>
      <c r="F158" s="6">
        <v>44.05</v>
      </c>
      <c r="G158" s="7">
        <v>348895000</v>
      </c>
      <c r="H158" t="s">
        <v>73</v>
      </c>
    </row>
    <row r="159" spans="1:8" ht="18" x14ac:dyDescent="0.2">
      <c r="A159" s="5">
        <v>44835</v>
      </c>
      <c r="B159" s="6">
        <v>41.29</v>
      </c>
      <c r="C159" s="6">
        <v>46.52</v>
      </c>
      <c r="D159" s="6">
        <v>39.75</v>
      </c>
      <c r="E159" s="6">
        <v>45.99</v>
      </c>
      <c r="F159" s="6">
        <v>42.25</v>
      </c>
      <c r="G159" s="7">
        <v>383039100</v>
      </c>
      <c r="H159" t="s">
        <v>73</v>
      </c>
    </row>
    <row r="160" spans="1:8" ht="18" x14ac:dyDescent="0.2">
      <c r="A160" s="5">
        <v>44805</v>
      </c>
      <c r="B160" s="6">
        <v>43.66</v>
      </c>
      <c r="C160" s="6">
        <v>46.14</v>
      </c>
      <c r="D160" s="6">
        <v>39.340000000000003</v>
      </c>
      <c r="E160" s="6">
        <v>40.22</v>
      </c>
      <c r="F160" s="6">
        <v>36.950000000000003</v>
      </c>
      <c r="G160" s="7">
        <v>354330500</v>
      </c>
      <c r="H160" t="s">
        <v>73</v>
      </c>
    </row>
    <row r="161" spans="1:8" ht="18" x14ac:dyDescent="0.2">
      <c r="A161" s="5">
        <v>44774</v>
      </c>
      <c r="B161" s="6">
        <v>43.44</v>
      </c>
      <c r="C161" s="6">
        <v>46.32</v>
      </c>
      <c r="D161" s="6">
        <v>42.53</v>
      </c>
      <c r="E161" s="6">
        <v>43.71</v>
      </c>
      <c r="F161" s="6">
        <v>39.880000000000003</v>
      </c>
      <c r="G161" s="7">
        <v>308752700</v>
      </c>
      <c r="H161" t="s">
        <v>73</v>
      </c>
    </row>
    <row r="162" spans="1:8" ht="18" x14ac:dyDescent="0.2">
      <c r="A162" s="5">
        <v>44743</v>
      </c>
      <c r="B162" s="6">
        <v>38.72</v>
      </c>
      <c r="C162" s="6">
        <v>44.35</v>
      </c>
      <c r="D162" s="6">
        <v>37.43</v>
      </c>
      <c r="E162" s="6">
        <v>43.87</v>
      </c>
      <c r="F162" s="6">
        <v>40.03</v>
      </c>
      <c r="G162" s="7">
        <v>377913800</v>
      </c>
      <c r="H162" t="s">
        <v>73</v>
      </c>
    </row>
    <row r="163" spans="1:8" ht="18" x14ac:dyDescent="0.2">
      <c r="A163" s="5">
        <v>44713</v>
      </c>
      <c r="B163" s="6">
        <v>45.96</v>
      </c>
      <c r="C163" s="6">
        <v>46.07</v>
      </c>
      <c r="D163" s="6">
        <v>36.54</v>
      </c>
      <c r="E163" s="6">
        <v>39.17</v>
      </c>
      <c r="F163" s="6">
        <v>35.74</v>
      </c>
      <c r="G163" s="7">
        <v>503139500</v>
      </c>
      <c r="H163" t="s">
        <v>73</v>
      </c>
    </row>
    <row r="164" spans="1:8" ht="18" x14ac:dyDescent="0.2">
      <c r="A164" s="5">
        <v>44682</v>
      </c>
      <c r="B164" s="6">
        <v>43.87</v>
      </c>
      <c r="C164" s="6">
        <v>46.27</v>
      </c>
      <c r="D164" s="6">
        <v>40.74</v>
      </c>
      <c r="E164" s="6">
        <v>45.77</v>
      </c>
      <c r="F164" s="6">
        <v>41.53</v>
      </c>
      <c r="G164" s="7">
        <v>548344800</v>
      </c>
      <c r="H164" t="s">
        <v>73</v>
      </c>
    </row>
    <row r="165" spans="1:8" ht="18" x14ac:dyDescent="0.2">
      <c r="A165" s="5">
        <v>44652</v>
      </c>
      <c r="B165" s="6">
        <v>49.25</v>
      </c>
      <c r="C165" s="6">
        <v>50.19</v>
      </c>
      <c r="D165" s="6">
        <v>43.51</v>
      </c>
      <c r="E165" s="6">
        <v>43.63</v>
      </c>
      <c r="F165" s="6">
        <v>39.590000000000003</v>
      </c>
      <c r="G165" s="7">
        <v>521880200</v>
      </c>
      <c r="H165" t="s">
        <v>73</v>
      </c>
    </row>
    <row r="166" spans="1:8" ht="18" x14ac:dyDescent="0.2">
      <c r="A166" s="5">
        <v>44621</v>
      </c>
      <c r="B166" s="6">
        <v>52.44</v>
      </c>
      <c r="C166" s="6">
        <v>54.2</v>
      </c>
      <c r="D166" s="6">
        <v>45.77</v>
      </c>
      <c r="E166" s="6">
        <v>48.46</v>
      </c>
      <c r="F166" s="6">
        <v>43.97</v>
      </c>
      <c r="G166" s="7">
        <v>754688700</v>
      </c>
      <c r="H166" t="s">
        <v>73</v>
      </c>
    </row>
    <row r="167" spans="1:8" ht="18" x14ac:dyDescent="0.2">
      <c r="A167" s="5">
        <v>44593</v>
      </c>
      <c r="B167" s="6">
        <v>54.72</v>
      </c>
      <c r="C167" s="6">
        <v>60.3</v>
      </c>
      <c r="D167" s="6">
        <v>50.68</v>
      </c>
      <c r="E167" s="6">
        <v>53.37</v>
      </c>
      <c r="F167" s="6">
        <v>48.21</v>
      </c>
      <c r="G167" s="7">
        <v>569263200</v>
      </c>
      <c r="H167" t="s">
        <v>73</v>
      </c>
    </row>
    <row r="168" spans="1:8" ht="18" x14ac:dyDescent="0.2">
      <c r="A168" s="5">
        <v>44562</v>
      </c>
      <c r="B168" s="6">
        <v>48.93</v>
      </c>
      <c r="C168" s="6">
        <v>58.87</v>
      </c>
      <c r="D168" s="6">
        <v>48.92</v>
      </c>
      <c r="E168" s="6">
        <v>53.8</v>
      </c>
      <c r="F168" s="6">
        <v>48.6</v>
      </c>
      <c r="G168" s="7">
        <v>742893200</v>
      </c>
      <c r="H168" t="s">
        <v>73</v>
      </c>
    </row>
    <row r="169" spans="1:8" ht="18" x14ac:dyDescent="0.2">
      <c r="A169" s="5">
        <v>44531</v>
      </c>
      <c r="B169" s="6">
        <v>48.69</v>
      </c>
      <c r="C169" s="6">
        <v>50.82</v>
      </c>
      <c r="D169" s="6">
        <v>46.25</v>
      </c>
      <c r="E169" s="6">
        <v>47.98</v>
      </c>
      <c r="F169" s="6">
        <v>43.34</v>
      </c>
      <c r="G169" s="7">
        <v>518911300</v>
      </c>
      <c r="H169" t="s">
        <v>73</v>
      </c>
    </row>
    <row r="170" spans="1:8" ht="18" x14ac:dyDescent="0.2">
      <c r="A170" s="5">
        <v>44501</v>
      </c>
      <c r="B170" s="6">
        <v>51.56</v>
      </c>
      <c r="C170" s="6">
        <v>52.57</v>
      </c>
      <c r="D170" s="6">
        <v>47.32</v>
      </c>
      <c r="E170" s="6">
        <v>47.78</v>
      </c>
      <c r="F170" s="6">
        <v>43</v>
      </c>
      <c r="G170" s="7">
        <v>501550700</v>
      </c>
      <c r="H170" t="s">
        <v>73</v>
      </c>
    </row>
    <row r="171" spans="1:8" ht="18" x14ac:dyDescent="0.2">
      <c r="A171" s="5">
        <v>44470</v>
      </c>
      <c r="B171" s="6">
        <v>46.55</v>
      </c>
      <c r="C171" s="6">
        <v>51.64</v>
      </c>
      <c r="D171" s="6">
        <v>44.83</v>
      </c>
      <c r="E171" s="6">
        <v>51.16</v>
      </c>
      <c r="F171" s="6">
        <v>46.04</v>
      </c>
      <c r="G171" s="7">
        <v>516094300</v>
      </c>
      <c r="H171" t="s">
        <v>73</v>
      </c>
    </row>
    <row r="172" spans="1:8" ht="18" x14ac:dyDescent="0.2">
      <c r="A172" s="5">
        <v>44440</v>
      </c>
      <c r="B172" s="6">
        <v>45.7</v>
      </c>
      <c r="C172" s="6">
        <v>48.94</v>
      </c>
      <c r="D172" s="6">
        <v>43.27</v>
      </c>
      <c r="E172" s="6">
        <v>46.41</v>
      </c>
      <c r="F172" s="6">
        <v>41.76</v>
      </c>
      <c r="G172" s="7">
        <v>651312400</v>
      </c>
      <c r="H172" t="s">
        <v>73</v>
      </c>
    </row>
    <row r="173" spans="1:8" ht="18" x14ac:dyDescent="0.2">
      <c r="A173" s="5">
        <v>44409</v>
      </c>
      <c r="B173" s="6">
        <v>46.04</v>
      </c>
      <c r="C173" s="6">
        <v>51.41</v>
      </c>
      <c r="D173" s="6">
        <v>45.11</v>
      </c>
      <c r="E173" s="6">
        <v>45.7</v>
      </c>
      <c r="F173" s="6">
        <v>40.950000000000003</v>
      </c>
      <c r="G173" s="7">
        <v>528672200</v>
      </c>
      <c r="H173" t="s">
        <v>73</v>
      </c>
    </row>
    <row r="174" spans="1:8" ht="18" x14ac:dyDescent="0.2">
      <c r="A174" s="5">
        <v>44378</v>
      </c>
      <c r="B174" s="6">
        <v>45.48</v>
      </c>
      <c r="C174" s="6">
        <v>46.85</v>
      </c>
      <c r="D174" s="6">
        <v>41.97</v>
      </c>
      <c r="E174" s="6">
        <v>45.94</v>
      </c>
      <c r="F174" s="6">
        <v>41.16</v>
      </c>
      <c r="G174" s="7">
        <v>560767400</v>
      </c>
      <c r="H174" t="s">
        <v>73</v>
      </c>
    </row>
    <row r="175" spans="1:8" ht="18" x14ac:dyDescent="0.2">
      <c r="A175" s="5">
        <v>44348</v>
      </c>
      <c r="B175" s="6">
        <v>47.16</v>
      </c>
      <c r="C175" s="6">
        <v>47.46</v>
      </c>
      <c r="D175" s="6">
        <v>41.47</v>
      </c>
      <c r="E175" s="6">
        <v>45.29</v>
      </c>
      <c r="F175" s="6">
        <v>40.58</v>
      </c>
      <c r="G175" s="7">
        <v>607672400</v>
      </c>
      <c r="H175" t="s">
        <v>73</v>
      </c>
    </row>
    <row r="176" spans="1:8" ht="18" x14ac:dyDescent="0.2">
      <c r="A176" s="5">
        <v>44317</v>
      </c>
      <c r="B176" s="6">
        <v>45.45</v>
      </c>
      <c r="C176" s="6">
        <v>48.13</v>
      </c>
      <c r="D176" s="6">
        <v>44.67</v>
      </c>
      <c r="E176" s="6">
        <v>46.72</v>
      </c>
      <c r="F176" s="6">
        <v>41.77</v>
      </c>
      <c r="G176" s="7">
        <v>526684700</v>
      </c>
      <c r="H176" t="s">
        <v>73</v>
      </c>
    </row>
    <row r="177" spans="1:8" ht="18" x14ac:dyDescent="0.2">
      <c r="A177" s="5">
        <v>44287</v>
      </c>
      <c r="B177" s="6">
        <v>38.96</v>
      </c>
      <c r="C177" s="6">
        <v>46.39</v>
      </c>
      <c r="D177" s="6">
        <v>38.92</v>
      </c>
      <c r="E177" s="6">
        <v>45.05</v>
      </c>
      <c r="F177" s="6">
        <v>40.28</v>
      </c>
      <c r="G177" s="7">
        <v>634499100</v>
      </c>
      <c r="H177" t="s">
        <v>73</v>
      </c>
    </row>
    <row r="178" spans="1:8" ht="18" x14ac:dyDescent="0.2">
      <c r="A178" s="5">
        <v>44256</v>
      </c>
      <c r="B178" s="6">
        <v>37.11</v>
      </c>
      <c r="C178" s="6">
        <v>41.54</v>
      </c>
      <c r="D178" s="6">
        <v>36.340000000000003</v>
      </c>
      <c r="E178" s="6">
        <v>39.07</v>
      </c>
      <c r="F178" s="6">
        <v>34.93</v>
      </c>
      <c r="G178" s="7">
        <v>781557400</v>
      </c>
      <c r="H178" t="s">
        <v>73</v>
      </c>
    </row>
    <row r="179" spans="1:8" ht="18" x14ac:dyDescent="0.2">
      <c r="A179" s="5">
        <v>44228</v>
      </c>
      <c r="B179" s="6">
        <v>30.14</v>
      </c>
      <c r="C179" s="6">
        <v>38.68</v>
      </c>
      <c r="D179" s="6">
        <v>29.68</v>
      </c>
      <c r="E179" s="6">
        <v>36.17</v>
      </c>
      <c r="F179" s="6">
        <v>32.24</v>
      </c>
      <c r="G179" s="7">
        <v>655506000</v>
      </c>
      <c r="H179" t="s">
        <v>73</v>
      </c>
    </row>
    <row r="180" spans="1:8" ht="18" x14ac:dyDescent="0.2">
      <c r="A180" s="5">
        <v>44197</v>
      </c>
      <c r="B180" s="6">
        <v>30.32</v>
      </c>
      <c r="C180" s="6">
        <v>35.1</v>
      </c>
      <c r="D180" s="6">
        <v>29.4</v>
      </c>
      <c r="E180" s="6">
        <v>29.88</v>
      </c>
      <c r="F180" s="6">
        <v>26.63</v>
      </c>
      <c r="G180" s="7">
        <v>798079600</v>
      </c>
      <c r="H180" t="s">
        <v>73</v>
      </c>
    </row>
    <row r="181" spans="1:8" ht="18" x14ac:dyDescent="0.2">
      <c r="A181" s="5">
        <v>44166</v>
      </c>
      <c r="B181" s="6">
        <v>28.15</v>
      </c>
      <c r="C181" s="6">
        <v>30.49</v>
      </c>
      <c r="D181" s="6">
        <v>27.85</v>
      </c>
      <c r="E181" s="6">
        <v>30.18</v>
      </c>
      <c r="F181" s="6">
        <v>26.9</v>
      </c>
      <c r="G181" s="7">
        <v>737667600</v>
      </c>
      <c r="H181" t="s">
        <v>73</v>
      </c>
    </row>
  </sheetData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D768-97D2-674E-8BA0-DB31A8861908}">
  <dimension ref="A1:I541"/>
  <sheetViews>
    <sheetView topLeftCell="D516" workbookViewId="0">
      <selection activeCell="K525" sqref="K525"/>
    </sheetView>
  </sheetViews>
  <sheetFormatPr baseColWidth="10" defaultRowHeight="16" x14ac:dyDescent="0.2"/>
  <cols>
    <col min="1" max="1" width="11.33203125" bestFit="1" customWidth="1"/>
    <col min="7" max="7" width="16.6640625" bestFit="1" customWidth="1"/>
  </cols>
  <sheetData>
    <row r="1" spans="1:9" x14ac:dyDescent="0.2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80</v>
      </c>
      <c r="I1" s="4" t="s">
        <v>84</v>
      </c>
    </row>
    <row r="2" spans="1:9" ht="18" x14ac:dyDescent="0.2">
      <c r="A2" s="5">
        <v>45962</v>
      </c>
      <c r="B2" s="6">
        <v>311</v>
      </c>
      <c r="C2" s="6">
        <v>322.25</v>
      </c>
      <c r="D2" s="6">
        <v>301.23</v>
      </c>
      <c r="E2" s="6">
        <v>303.61</v>
      </c>
      <c r="F2" s="6">
        <v>303.61</v>
      </c>
      <c r="G2" s="7">
        <v>76928700</v>
      </c>
      <c r="H2" t="s">
        <v>81</v>
      </c>
      <c r="I2" t="s">
        <v>21</v>
      </c>
    </row>
    <row r="3" spans="1:9" ht="18" x14ac:dyDescent="0.2">
      <c r="A3" s="5">
        <v>45931</v>
      </c>
      <c r="B3" s="6">
        <v>313.97000000000003</v>
      </c>
      <c r="C3" s="6">
        <v>314.58999999999997</v>
      </c>
      <c r="D3" s="6">
        <v>290.54000000000002</v>
      </c>
      <c r="E3" s="6">
        <v>311.12</v>
      </c>
      <c r="F3" s="6">
        <v>309.61</v>
      </c>
      <c r="G3" s="7">
        <v>189429800</v>
      </c>
      <c r="H3" t="s">
        <v>81</v>
      </c>
      <c r="I3" t="s">
        <v>21</v>
      </c>
    </row>
    <row r="4" spans="1:9" ht="18" x14ac:dyDescent="0.2">
      <c r="A4" s="5">
        <v>45901</v>
      </c>
      <c r="B4" s="6">
        <v>300.26</v>
      </c>
      <c r="C4" s="6">
        <v>318.01</v>
      </c>
      <c r="D4" s="6">
        <v>291.44</v>
      </c>
      <c r="E4" s="6">
        <v>315.43</v>
      </c>
      <c r="F4" s="6">
        <v>313.89999999999998</v>
      </c>
      <c r="G4" s="7">
        <v>182562300</v>
      </c>
      <c r="H4" t="s">
        <v>81</v>
      </c>
      <c r="I4" t="s">
        <v>21</v>
      </c>
    </row>
    <row r="5" spans="1:9" ht="18" x14ac:dyDescent="0.2">
      <c r="A5" s="5">
        <v>45870</v>
      </c>
      <c r="B5" s="6">
        <v>290.39999999999998</v>
      </c>
      <c r="C5" s="6">
        <v>302.95</v>
      </c>
      <c r="D5" s="6">
        <v>284.24</v>
      </c>
      <c r="E5" s="6">
        <v>301.42</v>
      </c>
      <c r="F5" s="6">
        <v>299.95999999999998</v>
      </c>
      <c r="G5" s="7">
        <v>148828400</v>
      </c>
      <c r="H5" t="s">
        <v>81</v>
      </c>
      <c r="I5" t="s">
        <v>21</v>
      </c>
    </row>
    <row r="6" spans="1:9" ht="18" x14ac:dyDescent="0.2">
      <c r="A6" s="5">
        <v>45839</v>
      </c>
      <c r="B6" s="6">
        <v>290.89</v>
      </c>
      <c r="C6" s="6">
        <v>301.29000000000002</v>
      </c>
      <c r="D6" s="6">
        <v>280.31</v>
      </c>
      <c r="E6" s="6">
        <v>296.24</v>
      </c>
      <c r="F6" s="6">
        <v>293.39</v>
      </c>
      <c r="G6" s="7">
        <v>198593200</v>
      </c>
      <c r="H6" t="s">
        <v>81</v>
      </c>
      <c r="I6" t="s">
        <v>21</v>
      </c>
    </row>
    <row r="7" spans="1:9" ht="18" x14ac:dyDescent="0.2">
      <c r="A7" s="5">
        <v>45809</v>
      </c>
      <c r="B7" s="6">
        <v>263.02</v>
      </c>
      <c r="C7" s="6">
        <v>292.64999999999998</v>
      </c>
      <c r="D7" s="6">
        <v>260.31</v>
      </c>
      <c r="E7" s="6">
        <v>289.91000000000003</v>
      </c>
      <c r="F7" s="6">
        <v>287.12</v>
      </c>
      <c r="G7" s="7">
        <v>174361400</v>
      </c>
      <c r="H7" t="s">
        <v>81</v>
      </c>
      <c r="I7" t="s">
        <v>21</v>
      </c>
    </row>
    <row r="8" spans="1:9" ht="18" x14ac:dyDescent="0.2">
      <c r="A8" s="5">
        <v>45778</v>
      </c>
      <c r="B8" s="6">
        <v>242.84</v>
      </c>
      <c r="C8" s="6">
        <v>269.52</v>
      </c>
      <c r="D8" s="6">
        <v>242.17</v>
      </c>
      <c r="E8" s="6">
        <v>264</v>
      </c>
      <c r="F8" s="6">
        <v>261.45999999999998</v>
      </c>
      <c r="G8" s="7">
        <v>165122600</v>
      </c>
      <c r="H8" t="s">
        <v>81</v>
      </c>
      <c r="I8" t="s">
        <v>21</v>
      </c>
    </row>
    <row r="9" spans="1:9" ht="18" x14ac:dyDescent="0.2">
      <c r="A9" s="5">
        <v>45748</v>
      </c>
      <c r="B9" s="6">
        <v>242.62</v>
      </c>
      <c r="C9" s="6">
        <v>247.25</v>
      </c>
      <c r="D9" s="6">
        <v>202.16</v>
      </c>
      <c r="E9" s="6">
        <v>244.62</v>
      </c>
      <c r="F9" s="6">
        <v>240.79</v>
      </c>
      <c r="G9" s="7">
        <v>287378000</v>
      </c>
      <c r="H9" t="s">
        <v>81</v>
      </c>
      <c r="I9" t="s">
        <v>21</v>
      </c>
    </row>
    <row r="10" spans="1:9" ht="18" x14ac:dyDescent="0.2">
      <c r="A10" s="5">
        <v>45717</v>
      </c>
      <c r="B10" s="6">
        <v>264</v>
      </c>
      <c r="C10" s="6">
        <v>266.32</v>
      </c>
      <c r="D10" s="6">
        <v>224.23</v>
      </c>
      <c r="E10" s="6">
        <v>245.3</v>
      </c>
      <c r="F10" s="6">
        <v>241.46</v>
      </c>
      <c r="G10" s="7">
        <v>265181900</v>
      </c>
      <c r="H10" t="s">
        <v>81</v>
      </c>
      <c r="I10" t="s">
        <v>21</v>
      </c>
    </row>
    <row r="11" spans="1:9" ht="18" x14ac:dyDescent="0.2">
      <c r="A11" s="5">
        <v>45689</v>
      </c>
      <c r="B11" s="6">
        <v>261.83</v>
      </c>
      <c r="C11" s="6">
        <v>280.25</v>
      </c>
      <c r="D11" s="6">
        <v>253.35</v>
      </c>
      <c r="E11" s="6">
        <v>264.64999999999998</v>
      </c>
      <c r="F11" s="6">
        <v>260.5</v>
      </c>
      <c r="G11" s="7">
        <v>156634700</v>
      </c>
      <c r="H11" t="s">
        <v>81</v>
      </c>
      <c r="I11" t="s">
        <v>21</v>
      </c>
    </row>
    <row r="12" spans="1:9" ht="18" x14ac:dyDescent="0.2">
      <c r="A12" s="5">
        <v>45658</v>
      </c>
      <c r="B12" s="6">
        <v>240.92</v>
      </c>
      <c r="C12" s="6">
        <v>270.82</v>
      </c>
      <c r="D12" s="6">
        <v>238.74</v>
      </c>
      <c r="E12" s="6">
        <v>267.3</v>
      </c>
      <c r="F12" s="6">
        <v>261.76</v>
      </c>
      <c r="G12" s="7">
        <v>209826800</v>
      </c>
      <c r="H12" t="s">
        <v>81</v>
      </c>
      <c r="I12" t="s">
        <v>21</v>
      </c>
    </row>
    <row r="13" spans="1:9" ht="18" x14ac:dyDescent="0.2">
      <c r="A13" s="5">
        <v>45627</v>
      </c>
      <c r="B13" s="6">
        <v>249.55</v>
      </c>
      <c r="C13" s="6">
        <v>250.25</v>
      </c>
      <c r="D13" s="6">
        <v>229.53</v>
      </c>
      <c r="E13" s="6">
        <v>239.71</v>
      </c>
      <c r="F13" s="6">
        <v>234.74</v>
      </c>
      <c r="G13" s="7">
        <v>181266200</v>
      </c>
      <c r="H13" t="s">
        <v>81</v>
      </c>
      <c r="I13" t="s">
        <v>21</v>
      </c>
    </row>
    <row r="14" spans="1:9" ht="18" x14ac:dyDescent="0.2">
      <c r="A14" s="5">
        <v>45597</v>
      </c>
      <c r="B14" s="6">
        <v>223.56</v>
      </c>
      <c r="C14" s="6">
        <v>254.31</v>
      </c>
      <c r="D14" s="6">
        <v>219.17</v>
      </c>
      <c r="E14" s="6">
        <v>249.72</v>
      </c>
      <c r="F14" s="6">
        <v>244.54</v>
      </c>
      <c r="G14" s="7">
        <v>188851300</v>
      </c>
      <c r="H14" t="s">
        <v>81</v>
      </c>
      <c r="I14" t="s">
        <v>21</v>
      </c>
    </row>
    <row r="15" spans="1:9" ht="18" x14ac:dyDescent="0.2">
      <c r="A15" s="5">
        <v>45566</v>
      </c>
      <c r="B15" s="6">
        <v>208.9</v>
      </c>
      <c r="C15" s="6">
        <v>226.75</v>
      </c>
      <c r="D15" s="6">
        <v>204.34</v>
      </c>
      <c r="E15" s="6">
        <v>221.92</v>
      </c>
      <c r="F15" s="6">
        <v>216</v>
      </c>
      <c r="G15" s="7">
        <v>178337400</v>
      </c>
      <c r="H15" t="s">
        <v>81</v>
      </c>
      <c r="I15" t="s">
        <v>21</v>
      </c>
    </row>
    <row r="16" spans="1:9" ht="18" x14ac:dyDescent="0.2">
      <c r="A16" s="5">
        <v>45536</v>
      </c>
      <c r="B16" s="6">
        <v>222.3</v>
      </c>
      <c r="C16" s="6">
        <v>224.1</v>
      </c>
      <c r="D16" s="6">
        <v>200.61</v>
      </c>
      <c r="E16" s="6">
        <v>210.86</v>
      </c>
      <c r="F16" s="6">
        <v>205.23</v>
      </c>
      <c r="G16" s="7">
        <v>206487600</v>
      </c>
      <c r="H16" t="s">
        <v>81</v>
      </c>
      <c r="I16" t="s">
        <v>21</v>
      </c>
    </row>
    <row r="17" spans="1:9" ht="18" x14ac:dyDescent="0.2">
      <c r="A17" s="5">
        <v>45505</v>
      </c>
      <c r="B17" s="6">
        <v>213.2</v>
      </c>
      <c r="C17" s="6">
        <v>225.48</v>
      </c>
      <c r="D17" s="6">
        <v>190.9</v>
      </c>
      <c r="E17" s="6">
        <v>224.8</v>
      </c>
      <c r="F17" s="6">
        <v>218.8</v>
      </c>
      <c r="G17" s="7">
        <v>172435900</v>
      </c>
      <c r="H17" t="s">
        <v>81</v>
      </c>
      <c r="I17" t="s">
        <v>21</v>
      </c>
    </row>
    <row r="18" spans="1:9" ht="18" x14ac:dyDescent="0.2">
      <c r="A18" s="5">
        <v>45474</v>
      </c>
      <c r="B18" s="6">
        <v>202.84</v>
      </c>
      <c r="C18" s="6">
        <v>217.56</v>
      </c>
      <c r="D18" s="6">
        <v>202.1</v>
      </c>
      <c r="E18" s="6">
        <v>212.8</v>
      </c>
      <c r="F18" s="6">
        <v>205.98</v>
      </c>
      <c r="G18" s="7">
        <v>197445800</v>
      </c>
      <c r="H18" t="s">
        <v>81</v>
      </c>
      <c r="I18" t="s">
        <v>21</v>
      </c>
    </row>
    <row r="19" spans="1:9" ht="18" x14ac:dyDescent="0.2">
      <c r="A19" s="5">
        <v>45444</v>
      </c>
      <c r="B19" s="6">
        <v>202.31</v>
      </c>
      <c r="C19" s="6">
        <v>202.6</v>
      </c>
      <c r="D19" s="6">
        <v>190.88</v>
      </c>
      <c r="E19" s="6">
        <v>202.26</v>
      </c>
      <c r="F19" s="6">
        <v>195.78</v>
      </c>
      <c r="G19" s="7">
        <v>174847900</v>
      </c>
      <c r="H19" t="s">
        <v>81</v>
      </c>
      <c r="I19" t="s">
        <v>21</v>
      </c>
    </row>
    <row r="20" spans="1:9" ht="18" x14ac:dyDescent="0.2">
      <c r="A20" s="5">
        <v>45413</v>
      </c>
      <c r="B20" s="6">
        <v>192.27</v>
      </c>
      <c r="C20" s="6">
        <v>205.88</v>
      </c>
      <c r="D20" s="6">
        <v>188.46</v>
      </c>
      <c r="E20" s="6">
        <v>202.63</v>
      </c>
      <c r="F20" s="6">
        <v>196.13</v>
      </c>
      <c r="G20" s="7">
        <v>195900400</v>
      </c>
      <c r="H20" t="s">
        <v>81</v>
      </c>
      <c r="I20" t="s">
        <v>21</v>
      </c>
    </row>
    <row r="21" spans="1:9" ht="18" x14ac:dyDescent="0.2">
      <c r="A21" s="5">
        <v>45383</v>
      </c>
      <c r="B21" s="6">
        <v>199.99</v>
      </c>
      <c r="C21" s="6">
        <v>200.94</v>
      </c>
      <c r="D21" s="6">
        <v>179.2</v>
      </c>
      <c r="E21" s="6">
        <v>191.74</v>
      </c>
      <c r="F21" s="6">
        <v>184.52</v>
      </c>
      <c r="G21" s="7">
        <v>224749100</v>
      </c>
      <c r="H21" t="s">
        <v>81</v>
      </c>
      <c r="I21" t="s">
        <v>21</v>
      </c>
    </row>
    <row r="22" spans="1:9" ht="18" x14ac:dyDescent="0.2">
      <c r="A22" s="5">
        <v>45352</v>
      </c>
      <c r="B22" s="6">
        <v>185.7</v>
      </c>
      <c r="C22" s="6">
        <v>200.72</v>
      </c>
      <c r="D22" s="6">
        <v>184.27</v>
      </c>
      <c r="E22" s="6">
        <v>200.3</v>
      </c>
      <c r="F22" s="6">
        <v>192.75</v>
      </c>
      <c r="G22" s="7">
        <v>166255900</v>
      </c>
      <c r="H22" t="s">
        <v>81</v>
      </c>
      <c r="I22" t="s">
        <v>21</v>
      </c>
    </row>
    <row r="23" spans="1:9" ht="18" x14ac:dyDescent="0.2">
      <c r="A23" s="5">
        <v>45323</v>
      </c>
      <c r="B23" s="6">
        <v>173.64</v>
      </c>
      <c r="C23" s="6">
        <v>186.43</v>
      </c>
      <c r="D23" s="6">
        <v>171.43</v>
      </c>
      <c r="E23" s="6">
        <v>186.06</v>
      </c>
      <c r="F23" s="6">
        <v>179.05</v>
      </c>
      <c r="G23" s="7">
        <v>154730900</v>
      </c>
      <c r="H23" t="s">
        <v>81</v>
      </c>
      <c r="I23" t="s">
        <v>21</v>
      </c>
    </row>
    <row r="24" spans="1:9" ht="18" x14ac:dyDescent="0.2">
      <c r="A24" s="5">
        <v>45292</v>
      </c>
      <c r="B24" s="6">
        <v>169.09</v>
      </c>
      <c r="C24" s="6">
        <v>178.3</v>
      </c>
      <c r="D24" s="6">
        <v>164.3</v>
      </c>
      <c r="E24" s="6">
        <v>174.36</v>
      </c>
      <c r="F24" s="6">
        <v>166.76</v>
      </c>
      <c r="G24" s="7">
        <v>231656800</v>
      </c>
      <c r="H24" t="s">
        <v>81</v>
      </c>
      <c r="I24" t="s">
        <v>21</v>
      </c>
    </row>
    <row r="25" spans="1:9" ht="18" x14ac:dyDescent="0.2">
      <c r="A25" s="5">
        <v>45261</v>
      </c>
      <c r="B25" s="6">
        <v>155.82</v>
      </c>
      <c r="C25" s="6">
        <v>170.69</v>
      </c>
      <c r="D25" s="6">
        <v>155.82</v>
      </c>
      <c r="E25" s="6">
        <v>170.1</v>
      </c>
      <c r="F25" s="6">
        <v>162.69</v>
      </c>
      <c r="G25" s="7">
        <v>184769100</v>
      </c>
      <c r="H25" t="s">
        <v>81</v>
      </c>
      <c r="I25" t="s">
        <v>21</v>
      </c>
    </row>
    <row r="26" spans="1:9" ht="18" x14ac:dyDescent="0.2">
      <c r="A26" s="5">
        <v>45231</v>
      </c>
      <c r="B26" s="6">
        <v>139.25</v>
      </c>
      <c r="C26" s="6">
        <v>156.13</v>
      </c>
      <c r="D26" s="6">
        <v>138.47</v>
      </c>
      <c r="E26" s="6">
        <v>156.08000000000001</v>
      </c>
      <c r="F26" s="6">
        <v>149.28</v>
      </c>
      <c r="G26" s="7">
        <v>162193400</v>
      </c>
      <c r="H26" t="s">
        <v>81</v>
      </c>
      <c r="I26" t="s">
        <v>21</v>
      </c>
    </row>
    <row r="27" spans="1:9" ht="18" x14ac:dyDescent="0.2">
      <c r="A27" s="5">
        <v>45200</v>
      </c>
      <c r="B27" s="6">
        <v>144.83000000000001</v>
      </c>
      <c r="C27" s="6">
        <v>153.11000000000001</v>
      </c>
      <c r="D27" s="6">
        <v>135.19</v>
      </c>
      <c r="E27" s="6">
        <v>139.06</v>
      </c>
      <c r="F27" s="6">
        <v>132.03</v>
      </c>
      <c r="G27" s="7">
        <v>244013000</v>
      </c>
      <c r="H27" t="s">
        <v>81</v>
      </c>
      <c r="I27" t="s">
        <v>21</v>
      </c>
    </row>
    <row r="28" spans="1:9" ht="18" x14ac:dyDescent="0.2">
      <c r="A28" s="5">
        <v>45170</v>
      </c>
      <c r="B28" s="6">
        <v>146.09</v>
      </c>
      <c r="C28" s="6">
        <v>150.25</v>
      </c>
      <c r="D28" s="6">
        <v>142.65</v>
      </c>
      <c r="E28" s="6">
        <v>145.02000000000001</v>
      </c>
      <c r="F28" s="6">
        <v>137.69</v>
      </c>
      <c r="G28" s="7">
        <v>172239300</v>
      </c>
      <c r="H28" t="s">
        <v>81</v>
      </c>
      <c r="I28" t="s">
        <v>21</v>
      </c>
    </row>
    <row r="29" spans="1:9" ht="18" x14ac:dyDescent="0.2">
      <c r="A29" s="5">
        <v>45139</v>
      </c>
      <c r="B29" s="6">
        <v>157.43</v>
      </c>
      <c r="C29" s="6">
        <v>158</v>
      </c>
      <c r="D29" s="6">
        <v>145.46</v>
      </c>
      <c r="E29" s="6">
        <v>146.33000000000001</v>
      </c>
      <c r="F29" s="6">
        <v>138.93</v>
      </c>
      <c r="G29" s="7">
        <v>169299800</v>
      </c>
      <c r="H29" t="s">
        <v>81</v>
      </c>
      <c r="I29" t="s">
        <v>21</v>
      </c>
    </row>
    <row r="30" spans="1:9" ht="18" x14ac:dyDescent="0.2">
      <c r="A30" s="5">
        <v>45108</v>
      </c>
      <c r="B30" s="6">
        <v>146.19</v>
      </c>
      <c r="C30" s="6">
        <v>159.38</v>
      </c>
      <c r="D30" s="6">
        <v>141.44</v>
      </c>
      <c r="E30" s="6">
        <v>157.96</v>
      </c>
      <c r="F30" s="6">
        <v>148.94999999999999</v>
      </c>
      <c r="G30" s="7">
        <v>231261000</v>
      </c>
      <c r="H30" t="s">
        <v>81</v>
      </c>
      <c r="I30" t="s">
        <v>21</v>
      </c>
    </row>
    <row r="31" spans="1:9" ht="18" x14ac:dyDescent="0.2">
      <c r="A31" s="5">
        <v>45078</v>
      </c>
      <c r="B31" s="6">
        <v>136.52000000000001</v>
      </c>
      <c r="C31" s="6">
        <v>146</v>
      </c>
      <c r="D31" s="6">
        <v>135.44999999999999</v>
      </c>
      <c r="E31" s="6">
        <v>145.44</v>
      </c>
      <c r="F31" s="6">
        <v>137.13999999999999</v>
      </c>
      <c r="G31" s="7">
        <v>206562200</v>
      </c>
      <c r="H31" t="s">
        <v>81</v>
      </c>
      <c r="I31" t="s">
        <v>21</v>
      </c>
    </row>
    <row r="32" spans="1:9" ht="18" x14ac:dyDescent="0.2">
      <c r="A32" s="5">
        <v>45047</v>
      </c>
      <c r="B32" s="6">
        <v>142.26</v>
      </c>
      <c r="C32" s="6">
        <v>143.37</v>
      </c>
      <c r="D32" s="6">
        <v>131.81</v>
      </c>
      <c r="E32" s="6">
        <v>135.71</v>
      </c>
      <c r="F32" s="6">
        <v>127.97</v>
      </c>
      <c r="G32" s="7">
        <v>235306100</v>
      </c>
      <c r="H32" t="s">
        <v>81</v>
      </c>
      <c r="I32" t="s">
        <v>21</v>
      </c>
    </row>
    <row r="33" spans="1:9" ht="18" x14ac:dyDescent="0.2">
      <c r="A33" s="5">
        <v>45017</v>
      </c>
      <c r="B33" s="6">
        <v>129.91</v>
      </c>
      <c r="C33" s="6">
        <v>141.78</v>
      </c>
      <c r="D33" s="6">
        <v>126.22</v>
      </c>
      <c r="E33" s="6">
        <v>138.24</v>
      </c>
      <c r="F33" s="6">
        <v>129.34</v>
      </c>
      <c r="G33" s="7">
        <v>242865000</v>
      </c>
      <c r="H33" t="s">
        <v>81</v>
      </c>
      <c r="I33" t="s">
        <v>21</v>
      </c>
    </row>
    <row r="34" spans="1:9" ht="18" x14ac:dyDescent="0.2">
      <c r="A34" s="5">
        <v>44986</v>
      </c>
      <c r="B34" s="6">
        <v>142.1</v>
      </c>
      <c r="C34" s="6">
        <v>144.04</v>
      </c>
      <c r="D34" s="6">
        <v>123.11</v>
      </c>
      <c r="E34" s="6">
        <v>130.31</v>
      </c>
      <c r="F34" s="6">
        <v>121.92</v>
      </c>
      <c r="G34" s="7">
        <v>458474400</v>
      </c>
      <c r="H34" t="s">
        <v>81</v>
      </c>
      <c r="I34" t="s">
        <v>21</v>
      </c>
    </row>
    <row r="35" spans="1:9" ht="18" x14ac:dyDescent="0.2">
      <c r="A35" s="5">
        <v>44958</v>
      </c>
      <c r="B35" s="6">
        <v>138.21</v>
      </c>
      <c r="C35" s="6">
        <v>144.34</v>
      </c>
      <c r="D35" s="6">
        <v>137.44</v>
      </c>
      <c r="E35" s="6">
        <v>143.35</v>
      </c>
      <c r="F35" s="6">
        <v>134.12</v>
      </c>
      <c r="G35" s="7">
        <v>169562800</v>
      </c>
      <c r="H35" t="s">
        <v>81</v>
      </c>
      <c r="I35" t="s">
        <v>21</v>
      </c>
    </row>
    <row r="36" spans="1:9" ht="18" x14ac:dyDescent="0.2">
      <c r="A36" s="5">
        <v>44927</v>
      </c>
      <c r="B36" s="6">
        <v>135.24</v>
      </c>
      <c r="C36" s="6">
        <v>143.49</v>
      </c>
      <c r="D36" s="6">
        <v>133.55000000000001</v>
      </c>
      <c r="E36" s="6">
        <v>139.96</v>
      </c>
      <c r="F36" s="6">
        <v>129.99</v>
      </c>
      <c r="G36" s="7">
        <v>209965200</v>
      </c>
      <c r="H36" t="s">
        <v>81</v>
      </c>
      <c r="I36" t="s">
        <v>21</v>
      </c>
    </row>
    <row r="37" spans="1:9" ht="18" x14ac:dyDescent="0.2">
      <c r="A37" s="5">
        <v>44896</v>
      </c>
      <c r="B37" s="6">
        <v>138.18</v>
      </c>
      <c r="C37" s="6">
        <v>138.66</v>
      </c>
      <c r="D37" s="6">
        <v>128.41</v>
      </c>
      <c r="E37" s="6">
        <v>134.1</v>
      </c>
      <c r="F37" s="6">
        <v>124.54</v>
      </c>
      <c r="G37" s="7">
        <v>202046000</v>
      </c>
      <c r="H37" t="s">
        <v>81</v>
      </c>
      <c r="I37" t="s">
        <v>21</v>
      </c>
    </row>
    <row r="38" spans="1:9" ht="18" x14ac:dyDescent="0.2">
      <c r="A38" s="5">
        <v>44866</v>
      </c>
      <c r="B38" s="6">
        <v>126.87</v>
      </c>
      <c r="C38" s="6">
        <v>138.18</v>
      </c>
      <c r="D38" s="6">
        <v>125.91</v>
      </c>
      <c r="E38" s="6">
        <v>138.18</v>
      </c>
      <c r="F38" s="6">
        <v>128.33000000000001</v>
      </c>
      <c r="G38" s="7">
        <v>227228500</v>
      </c>
      <c r="H38" t="s">
        <v>81</v>
      </c>
      <c r="I38" t="s">
        <v>21</v>
      </c>
    </row>
    <row r="39" spans="1:9" ht="18" x14ac:dyDescent="0.2">
      <c r="A39" s="5">
        <v>44835</v>
      </c>
      <c r="B39" s="6">
        <v>105.62</v>
      </c>
      <c r="C39" s="6">
        <v>127.43</v>
      </c>
      <c r="D39" s="6">
        <v>101.28</v>
      </c>
      <c r="E39" s="6">
        <v>125.88</v>
      </c>
      <c r="F39" s="6">
        <v>115.87</v>
      </c>
      <c r="G39" s="7">
        <v>318197200</v>
      </c>
      <c r="H39" t="s">
        <v>81</v>
      </c>
      <c r="I39" t="s">
        <v>21</v>
      </c>
    </row>
    <row r="40" spans="1:9" ht="18" x14ac:dyDescent="0.2">
      <c r="A40" s="5">
        <v>44805</v>
      </c>
      <c r="B40" s="6">
        <v>113.29</v>
      </c>
      <c r="C40" s="6">
        <v>121.55</v>
      </c>
      <c r="D40" s="6">
        <v>104.4</v>
      </c>
      <c r="E40" s="6">
        <v>104.5</v>
      </c>
      <c r="F40" s="6">
        <v>96.19</v>
      </c>
      <c r="G40" s="7">
        <v>248558100</v>
      </c>
      <c r="H40" t="s">
        <v>81</v>
      </c>
      <c r="I40" t="s">
        <v>21</v>
      </c>
    </row>
    <row r="41" spans="1:9" ht="18" x14ac:dyDescent="0.2">
      <c r="A41" s="5">
        <v>44774</v>
      </c>
      <c r="B41" s="6">
        <v>114.5</v>
      </c>
      <c r="C41" s="6">
        <v>124.24</v>
      </c>
      <c r="D41" s="6">
        <v>111.02</v>
      </c>
      <c r="E41" s="6">
        <v>113.73</v>
      </c>
      <c r="F41" s="6">
        <v>104.69</v>
      </c>
      <c r="G41" s="7">
        <v>258430300</v>
      </c>
      <c r="H41" t="s">
        <v>81</v>
      </c>
      <c r="I41" t="s">
        <v>21</v>
      </c>
    </row>
    <row r="42" spans="1:9" ht="18" x14ac:dyDescent="0.2">
      <c r="A42" s="5">
        <v>44743</v>
      </c>
      <c r="B42" s="6">
        <v>112.65</v>
      </c>
      <c r="C42" s="6">
        <v>116.5</v>
      </c>
      <c r="D42" s="6">
        <v>106.06</v>
      </c>
      <c r="E42" s="6">
        <v>115.36</v>
      </c>
      <c r="F42" s="6">
        <v>105.26</v>
      </c>
      <c r="G42" s="7">
        <v>239623100</v>
      </c>
      <c r="H42" t="s">
        <v>81</v>
      </c>
      <c r="I42" t="s">
        <v>21</v>
      </c>
    </row>
    <row r="43" spans="1:9" ht="18" x14ac:dyDescent="0.2">
      <c r="A43" s="5">
        <v>44713</v>
      </c>
      <c r="B43" s="6">
        <v>132.87</v>
      </c>
      <c r="C43" s="6">
        <v>132.87</v>
      </c>
      <c r="D43" s="6">
        <v>110.93</v>
      </c>
      <c r="E43" s="6">
        <v>112.61</v>
      </c>
      <c r="F43" s="6">
        <v>102.75</v>
      </c>
      <c r="G43" s="7">
        <v>268201900</v>
      </c>
      <c r="H43" t="s">
        <v>81</v>
      </c>
      <c r="I43" t="s">
        <v>21</v>
      </c>
    </row>
    <row r="44" spans="1:9" ht="18" x14ac:dyDescent="0.2">
      <c r="A44" s="5">
        <v>44682</v>
      </c>
      <c r="B44" s="6">
        <v>119.88</v>
      </c>
      <c r="C44" s="6">
        <v>133.15</v>
      </c>
      <c r="D44" s="6">
        <v>115.02</v>
      </c>
      <c r="E44" s="6">
        <v>132.22999999999999</v>
      </c>
      <c r="F44" s="6">
        <v>120.65</v>
      </c>
      <c r="G44" s="7">
        <v>313630400</v>
      </c>
      <c r="H44" t="s">
        <v>81</v>
      </c>
      <c r="I44" t="s">
        <v>21</v>
      </c>
    </row>
    <row r="45" spans="1:9" ht="18" x14ac:dyDescent="0.2">
      <c r="A45" s="5">
        <v>44652</v>
      </c>
      <c r="B45" s="6">
        <v>137.4</v>
      </c>
      <c r="C45" s="6">
        <v>137.41</v>
      </c>
      <c r="D45" s="6">
        <v>118.9</v>
      </c>
      <c r="E45" s="6">
        <v>119.36</v>
      </c>
      <c r="F45" s="6">
        <v>108.11</v>
      </c>
      <c r="G45" s="7">
        <v>303650400</v>
      </c>
      <c r="H45" t="s">
        <v>81</v>
      </c>
      <c r="I45" t="s">
        <v>21</v>
      </c>
    </row>
    <row r="46" spans="1:9" ht="18" x14ac:dyDescent="0.2">
      <c r="A46" s="5">
        <v>44621</v>
      </c>
      <c r="B46" s="6">
        <v>140.04</v>
      </c>
      <c r="C46" s="6">
        <v>143.93</v>
      </c>
      <c r="D46" s="6">
        <v>127.27</v>
      </c>
      <c r="E46" s="6">
        <v>136.32</v>
      </c>
      <c r="F46" s="6">
        <v>123.47</v>
      </c>
      <c r="G46" s="7">
        <v>390796800</v>
      </c>
      <c r="H46" t="s">
        <v>81</v>
      </c>
      <c r="I46" t="s">
        <v>21</v>
      </c>
    </row>
    <row r="47" spans="1:9" ht="18" x14ac:dyDescent="0.2">
      <c r="A47" s="5">
        <v>44593</v>
      </c>
      <c r="B47" s="6">
        <v>148.69</v>
      </c>
      <c r="C47" s="6">
        <v>159.03</v>
      </c>
      <c r="D47" s="6">
        <v>139.78</v>
      </c>
      <c r="E47" s="6">
        <v>141.80000000000001</v>
      </c>
      <c r="F47" s="6">
        <v>128.43</v>
      </c>
      <c r="G47" s="7">
        <v>288730100</v>
      </c>
      <c r="H47" t="s">
        <v>81</v>
      </c>
      <c r="I47" t="s">
        <v>21</v>
      </c>
    </row>
    <row r="48" spans="1:9" ht="18" x14ac:dyDescent="0.2">
      <c r="A48" s="5">
        <v>44562</v>
      </c>
      <c r="B48" s="6">
        <v>159.86000000000001</v>
      </c>
      <c r="C48" s="6">
        <v>169.81</v>
      </c>
      <c r="D48" s="6">
        <v>139.57</v>
      </c>
      <c r="E48" s="6">
        <v>148.6</v>
      </c>
      <c r="F48" s="6">
        <v>133.79</v>
      </c>
      <c r="G48" s="7">
        <v>373950200</v>
      </c>
      <c r="H48" t="s">
        <v>81</v>
      </c>
      <c r="I48" t="s">
        <v>21</v>
      </c>
    </row>
    <row r="49" spans="1:9" ht="18" x14ac:dyDescent="0.2">
      <c r="A49" s="5">
        <v>44531</v>
      </c>
      <c r="B49" s="6">
        <v>161</v>
      </c>
      <c r="C49" s="6">
        <v>163.38999999999999</v>
      </c>
      <c r="D49" s="6">
        <v>151.84</v>
      </c>
      <c r="E49" s="6">
        <v>158.35</v>
      </c>
      <c r="F49" s="6">
        <v>142.57</v>
      </c>
      <c r="G49" s="7">
        <v>251966400</v>
      </c>
      <c r="H49" t="s">
        <v>81</v>
      </c>
      <c r="I49" t="s">
        <v>21</v>
      </c>
    </row>
    <row r="50" spans="1:9" ht="18" x14ac:dyDescent="0.2">
      <c r="A50" s="5">
        <v>44501</v>
      </c>
      <c r="B50" s="6">
        <v>172.04</v>
      </c>
      <c r="C50" s="6">
        <v>172.33</v>
      </c>
      <c r="D50" s="6">
        <v>158.29</v>
      </c>
      <c r="E50" s="6">
        <v>158.83000000000001</v>
      </c>
      <c r="F50" s="6">
        <v>143</v>
      </c>
      <c r="G50" s="7">
        <v>203498400</v>
      </c>
      <c r="H50" t="s">
        <v>81</v>
      </c>
      <c r="I50" t="s">
        <v>21</v>
      </c>
    </row>
    <row r="51" spans="1:9" ht="18" x14ac:dyDescent="0.2">
      <c r="A51" s="5">
        <v>44470</v>
      </c>
      <c r="B51" s="6">
        <v>164</v>
      </c>
      <c r="C51" s="6">
        <v>172.96</v>
      </c>
      <c r="D51" s="6">
        <v>160.06</v>
      </c>
      <c r="E51" s="6">
        <v>169.89</v>
      </c>
      <c r="F51" s="6">
        <v>152.04</v>
      </c>
      <c r="G51" s="7">
        <v>231680800</v>
      </c>
      <c r="H51" t="s">
        <v>81</v>
      </c>
      <c r="I51" t="s">
        <v>21</v>
      </c>
    </row>
    <row r="52" spans="1:9" ht="18" x14ac:dyDescent="0.2">
      <c r="A52" s="5">
        <v>44440</v>
      </c>
      <c r="B52" s="6">
        <v>160.22</v>
      </c>
      <c r="C52" s="6">
        <v>169.3</v>
      </c>
      <c r="D52" s="6">
        <v>150.49</v>
      </c>
      <c r="E52" s="6">
        <v>163.69</v>
      </c>
      <c r="F52" s="6">
        <v>146.49</v>
      </c>
      <c r="G52" s="7">
        <v>234791100</v>
      </c>
      <c r="H52" t="s">
        <v>81</v>
      </c>
      <c r="I52" t="s">
        <v>21</v>
      </c>
    </row>
    <row r="53" spans="1:9" ht="18" x14ac:dyDescent="0.2">
      <c r="A53" s="5">
        <v>44409</v>
      </c>
      <c r="B53" s="6">
        <v>152.03</v>
      </c>
      <c r="C53" s="6">
        <v>163.83000000000001</v>
      </c>
      <c r="D53" s="6">
        <v>149.52000000000001</v>
      </c>
      <c r="E53" s="6">
        <v>159.94999999999999</v>
      </c>
      <c r="F53" s="6">
        <v>143.15</v>
      </c>
      <c r="G53" s="7">
        <v>208085700</v>
      </c>
      <c r="H53" t="s">
        <v>81</v>
      </c>
      <c r="I53" t="s">
        <v>21</v>
      </c>
    </row>
    <row r="54" spans="1:9" ht="18" x14ac:dyDescent="0.2">
      <c r="A54" s="5">
        <v>44378</v>
      </c>
      <c r="B54" s="6">
        <v>156.26</v>
      </c>
      <c r="C54" s="6">
        <v>159.16</v>
      </c>
      <c r="D54" s="6">
        <v>145.71</v>
      </c>
      <c r="E54" s="6">
        <v>151.78</v>
      </c>
      <c r="F54" s="6">
        <v>135.06</v>
      </c>
      <c r="G54" s="7">
        <v>280571500</v>
      </c>
      <c r="H54" t="s">
        <v>81</v>
      </c>
      <c r="I54" t="s">
        <v>21</v>
      </c>
    </row>
    <row r="55" spans="1:9" ht="18" x14ac:dyDescent="0.2">
      <c r="A55" s="5">
        <v>44348</v>
      </c>
      <c r="B55" s="6">
        <v>165.87</v>
      </c>
      <c r="C55" s="6">
        <v>167.44</v>
      </c>
      <c r="D55" s="6">
        <v>147.56</v>
      </c>
      <c r="E55" s="6">
        <v>155.54</v>
      </c>
      <c r="F55" s="6">
        <v>138.4</v>
      </c>
      <c r="G55" s="7">
        <v>356723300</v>
      </c>
      <c r="H55" t="s">
        <v>81</v>
      </c>
      <c r="I55" t="s">
        <v>21</v>
      </c>
    </row>
    <row r="56" spans="1:9" ht="18" x14ac:dyDescent="0.2">
      <c r="A56" s="5">
        <v>44317</v>
      </c>
      <c r="B56" s="6">
        <v>154.85</v>
      </c>
      <c r="C56" s="6">
        <v>165.7</v>
      </c>
      <c r="D56" s="6">
        <v>152.13999999999999</v>
      </c>
      <c r="E56" s="6">
        <v>164.24</v>
      </c>
      <c r="F56" s="6">
        <v>146.13999999999999</v>
      </c>
      <c r="G56" s="7">
        <v>248957700</v>
      </c>
      <c r="H56" t="s">
        <v>81</v>
      </c>
      <c r="I56" t="s">
        <v>21</v>
      </c>
    </row>
    <row r="57" spans="1:9" ht="18" x14ac:dyDescent="0.2">
      <c r="A57" s="5">
        <v>44287</v>
      </c>
      <c r="B57" s="6">
        <v>151.9</v>
      </c>
      <c r="C57" s="6">
        <v>157.25</v>
      </c>
      <c r="D57" s="6">
        <v>146.69</v>
      </c>
      <c r="E57" s="6">
        <v>153.81</v>
      </c>
      <c r="F57" s="6">
        <v>136.06</v>
      </c>
      <c r="G57" s="7">
        <v>288694200</v>
      </c>
      <c r="H57" t="s">
        <v>81</v>
      </c>
      <c r="I57" t="s">
        <v>21</v>
      </c>
    </row>
    <row r="58" spans="1:9" ht="18" x14ac:dyDescent="0.2">
      <c r="A58" s="5">
        <v>44256</v>
      </c>
      <c r="B58" s="6">
        <v>149.52000000000001</v>
      </c>
      <c r="C58" s="6">
        <v>161.69</v>
      </c>
      <c r="D58" s="6">
        <v>147.97</v>
      </c>
      <c r="E58" s="6">
        <v>152.22999999999999</v>
      </c>
      <c r="F58" s="6">
        <v>134.66</v>
      </c>
      <c r="G58" s="7">
        <v>399416900</v>
      </c>
      <c r="H58" t="s">
        <v>81</v>
      </c>
      <c r="I58" t="s">
        <v>21</v>
      </c>
    </row>
    <row r="59" spans="1:9" ht="18" x14ac:dyDescent="0.2">
      <c r="A59" s="5">
        <v>44228</v>
      </c>
      <c r="B59" s="6">
        <v>129.4</v>
      </c>
      <c r="C59" s="6">
        <v>154.9</v>
      </c>
      <c r="D59" s="6">
        <v>128.47999999999999</v>
      </c>
      <c r="E59" s="6">
        <v>147.16999999999999</v>
      </c>
      <c r="F59" s="6">
        <v>130.19</v>
      </c>
      <c r="G59" s="7">
        <v>229245300</v>
      </c>
      <c r="H59" t="s">
        <v>81</v>
      </c>
      <c r="I59" t="s">
        <v>21</v>
      </c>
    </row>
    <row r="60" spans="1:9" ht="18" x14ac:dyDescent="0.2">
      <c r="A60" s="5">
        <v>44197</v>
      </c>
      <c r="B60" s="6">
        <v>127.5</v>
      </c>
      <c r="C60" s="6">
        <v>142.75</v>
      </c>
      <c r="D60" s="6">
        <v>123.77</v>
      </c>
      <c r="E60" s="6">
        <v>128.66999999999999</v>
      </c>
      <c r="F60" s="6">
        <v>113.01</v>
      </c>
      <c r="G60" s="7">
        <v>318582400</v>
      </c>
      <c r="H60" t="s">
        <v>81</v>
      </c>
      <c r="I60" t="s">
        <v>21</v>
      </c>
    </row>
    <row r="61" spans="1:9" ht="18" x14ac:dyDescent="0.2">
      <c r="A61" s="5">
        <v>44166</v>
      </c>
      <c r="B61" s="6">
        <v>120.34</v>
      </c>
      <c r="C61" s="6">
        <v>127.33</v>
      </c>
      <c r="D61" s="6">
        <v>118.11</v>
      </c>
      <c r="E61" s="6">
        <v>127.07</v>
      </c>
      <c r="F61" s="6">
        <v>111.6</v>
      </c>
      <c r="G61" s="7">
        <v>274143300</v>
      </c>
      <c r="H61" t="s">
        <v>81</v>
      </c>
      <c r="I61" t="s">
        <v>21</v>
      </c>
    </row>
    <row r="62" spans="1:9" ht="18" x14ac:dyDescent="0.2">
      <c r="A62" s="5">
        <v>45962</v>
      </c>
      <c r="B62" s="6">
        <v>53.26</v>
      </c>
      <c r="C62" s="6">
        <v>54.69</v>
      </c>
      <c r="D62" s="6">
        <v>51.74</v>
      </c>
      <c r="E62" s="6">
        <v>52.61</v>
      </c>
      <c r="F62" s="6">
        <v>52.61</v>
      </c>
      <c r="G62" s="7">
        <v>387610300</v>
      </c>
      <c r="H62" t="s">
        <v>81</v>
      </c>
      <c r="I62" t="s">
        <v>22</v>
      </c>
    </row>
    <row r="63" spans="1:9" ht="18" x14ac:dyDescent="0.2">
      <c r="A63" s="5">
        <v>45931</v>
      </c>
      <c r="B63" s="6">
        <v>51.3</v>
      </c>
      <c r="C63" s="6">
        <v>53.64</v>
      </c>
      <c r="D63" s="6">
        <v>48.53</v>
      </c>
      <c r="E63" s="6">
        <v>53.45</v>
      </c>
      <c r="F63" s="6">
        <v>53.45</v>
      </c>
      <c r="G63" s="7">
        <v>762970500</v>
      </c>
      <c r="H63" t="s">
        <v>81</v>
      </c>
      <c r="I63" t="s">
        <v>22</v>
      </c>
    </row>
    <row r="64" spans="1:9" ht="18" x14ac:dyDescent="0.2">
      <c r="A64" s="5">
        <v>45901</v>
      </c>
      <c r="B64" s="6">
        <v>50.22</v>
      </c>
      <c r="C64" s="6">
        <v>52.88</v>
      </c>
      <c r="D64" s="6">
        <v>48.88</v>
      </c>
      <c r="E64" s="6">
        <v>51.59</v>
      </c>
      <c r="F64" s="6">
        <v>51.3</v>
      </c>
      <c r="G64" s="7">
        <v>754239800</v>
      </c>
      <c r="H64" t="s">
        <v>81</v>
      </c>
      <c r="I64" t="s">
        <v>22</v>
      </c>
    </row>
    <row r="65" spans="1:9" ht="18" x14ac:dyDescent="0.2">
      <c r="A65" s="5">
        <v>45870</v>
      </c>
      <c r="B65" s="6">
        <v>46.36</v>
      </c>
      <c r="C65" s="6">
        <v>50.92</v>
      </c>
      <c r="D65" s="6">
        <v>44.75</v>
      </c>
      <c r="E65" s="6">
        <v>50.74</v>
      </c>
      <c r="F65" s="6">
        <v>50.46</v>
      </c>
      <c r="G65" s="7">
        <v>728384200</v>
      </c>
      <c r="H65" t="s">
        <v>81</v>
      </c>
      <c r="I65" t="s">
        <v>22</v>
      </c>
    </row>
    <row r="66" spans="1:9" ht="18" x14ac:dyDescent="0.2">
      <c r="A66" s="5">
        <v>45839</v>
      </c>
      <c r="B66" s="6">
        <v>47.02</v>
      </c>
      <c r="C66" s="6">
        <v>49.31</v>
      </c>
      <c r="D66" s="6">
        <v>45.01</v>
      </c>
      <c r="E66" s="6">
        <v>47.27</v>
      </c>
      <c r="F66" s="6">
        <v>47.01</v>
      </c>
      <c r="G66" s="7">
        <v>906389900</v>
      </c>
      <c r="H66" t="s">
        <v>81</v>
      </c>
      <c r="I66" t="s">
        <v>22</v>
      </c>
    </row>
    <row r="67" spans="1:9" ht="18" x14ac:dyDescent="0.2">
      <c r="A67" s="5">
        <v>45809</v>
      </c>
      <c r="B67" s="6">
        <v>43.88</v>
      </c>
      <c r="C67" s="6">
        <v>47.67</v>
      </c>
      <c r="D67" s="6">
        <v>43.36</v>
      </c>
      <c r="E67" s="6">
        <v>47.32</v>
      </c>
      <c r="F67" s="6">
        <v>46.78</v>
      </c>
      <c r="G67" s="7">
        <v>775768400</v>
      </c>
      <c r="H67" t="s">
        <v>81</v>
      </c>
      <c r="I67" t="s">
        <v>22</v>
      </c>
    </row>
    <row r="68" spans="1:9" ht="18" x14ac:dyDescent="0.2">
      <c r="A68" s="5">
        <v>45778</v>
      </c>
      <c r="B68" s="6">
        <v>39.82</v>
      </c>
      <c r="C68" s="6">
        <v>45.14</v>
      </c>
      <c r="D68" s="6">
        <v>39.58</v>
      </c>
      <c r="E68" s="6">
        <v>44.13</v>
      </c>
      <c r="F68" s="6">
        <v>43.63</v>
      </c>
      <c r="G68" s="7">
        <v>822871900</v>
      </c>
      <c r="H68" t="s">
        <v>81</v>
      </c>
      <c r="I68" t="s">
        <v>22</v>
      </c>
    </row>
    <row r="69" spans="1:9" ht="18" x14ac:dyDescent="0.2">
      <c r="A69" s="5">
        <v>45748</v>
      </c>
      <c r="B69" s="6">
        <v>41.32</v>
      </c>
      <c r="C69" s="6">
        <v>41.97</v>
      </c>
      <c r="D69" s="6">
        <v>33.07</v>
      </c>
      <c r="E69" s="6">
        <v>39.880000000000003</v>
      </c>
      <c r="F69" s="6">
        <v>39.43</v>
      </c>
      <c r="G69" s="7">
        <v>1359333800</v>
      </c>
      <c r="H69" t="s">
        <v>81</v>
      </c>
      <c r="I69" t="s">
        <v>22</v>
      </c>
    </row>
    <row r="70" spans="1:9" ht="18" x14ac:dyDescent="0.2">
      <c r="A70" s="5">
        <v>45717</v>
      </c>
      <c r="B70" s="6">
        <v>46.21</v>
      </c>
      <c r="C70" s="6">
        <v>46.96</v>
      </c>
      <c r="D70" s="6">
        <v>39.18</v>
      </c>
      <c r="E70" s="6">
        <v>41.73</v>
      </c>
      <c r="F70" s="6">
        <v>41</v>
      </c>
      <c r="G70" s="7">
        <v>936464600</v>
      </c>
      <c r="H70" t="s">
        <v>81</v>
      </c>
      <c r="I70" t="s">
        <v>22</v>
      </c>
    </row>
    <row r="71" spans="1:9" ht="18" x14ac:dyDescent="0.2">
      <c r="A71" s="5">
        <v>45689</v>
      </c>
      <c r="B71" s="6">
        <v>45.42</v>
      </c>
      <c r="C71" s="6">
        <v>47.98</v>
      </c>
      <c r="D71" s="6">
        <v>43.35</v>
      </c>
      <c r="E71" s="6">
        <v>46.1</v>
      </c>
      <c r="F71" s="6">
        <v>45.29</v>
      </c>
      <c r="G71" s="7">
        <v>650240100</v>
      </c>
      <c r="H71" t="s">
        <v>81</v>
      </c>
      <c r="I71" t="s">
        <v>22</v>
      </c>
    </row>
    <row r="72" spans="1:9" ht="18" x14ac:dyDescent="0.2">
      <c r="A72" s="5">
        <v>45658</v>
      </c>
      <c r="B72" s="6">
        <v>44.14</v>
      </c>
      <c r="C72" s="6">
        <v>47.51</v>
      </c>
      <c r="D72" s="6">
        <v>43.8</v>
      </c>
      <c r="E72" s="6">
        <v>46.3</v>
      </c>
      <c r="F72" s="6">
        <v>45.49</v>
      </c>
      <c r="G72" s="7">
        <v>739447500</v>
      </c>
      <c r="H72" t="s">
        <v>81</v>
      </c>
      <c r="I72" t="s">
        <v>22</v>
      </c>
    </row>
    <row r="73" spans="1:9" ht="18" x14ac:dyDescent="0.2">
      <c r="A73" s="5">
        <v>45627</v>
      </c>
      <c r="B73" s="6">
        <v>47.74</v>
      </c>
      <c r="C73" s="6">
        <v>47.82</v>
      </c>
      <c r="D73" s="6">
        <v>42.78</v>
      </c>
      <c r="E73" s="6">
        <v>43.95</v>
      </c>
      <c r="F73" s="6">
        <v>42.94</v>
      </c>
      <c r="G73" s="7">
        <v>652159200</v>
      </c>
      <c r="H73" t="s">
        <v>81</v>
      </c>
      <c r="I73" t="s">
        <v>22</v>
      </c>
    </row>
    <row r="74" spans="1:9" ht="18" x14ac:dyDescent="0.2">
      <c r="A74" s="5">
        <v>45597</v>
      </c>
      <c r="B74" s="6">
        <v>42.15</v>
      </c>
      <c r="C74" s="6">
        <v>48.08</v>
      </c>
      <c r="D74" s="6">
        <v>41.11</v>
      </c>
      <c r="E74" s="6">
        <v>47.51</v>
      </c>
      <c r="F74" s="6">
        <v>46.42</v>
      </c>
      <c r="G74" s="7">
        <v>776323600</v>
      </c>
      <c r="H74" t="s">
        <v>81</v>
      </c>
      <c r="I74" t="s">
        <v>22</v>
      </c>
    </row>
    <row r="75" spans="1:9" ht="18" x14ac:dyDescent="0.2">
      <c r="A75" s="5">
        <v>45566</v>
      </c>
      <c r="B75" s="6">
        <v>39.51</v>
      </c>
      <c r="C75" s="6">
        <v>43.36</v>
      </c>
      <c r="D75" s="6">
        <v>38.729999999999997</v>
      </c>
      <c r="E75" s="6">
        <v>41.82</v>
      </c>
      <c r="F75" s="6">
        <v>40.86</v>
      </c>
      <c r="G75" s="7">
        <v>722829900</v>
      </c>
      <c r="H75" t="s">
        <v>81</v>
      </c>
      <c r="I75" t="s">
        <v>22</v>
      </c>
    </row>
    <row r="76" spans="1:9" ht="18" x14ac:dyDescent="0.2">
      <c r="A76" s="5">
        <v>45536</v>
      </c>
      <c r="B76" s="6">
        <v>40.58</v>
      </c>
      <c r="C76" s="6">
        <v>41.05</v>
      </c>
      <c r="D76" s="6">
        <v>38.01</v>
      </c>
      <c r="E76" s="6">
        <v>39.68</v>
      </c>
      <c r="F76" s="6">
        <v>38.520000000000003</v>
      </c>
      <c r="G76" s="7">
        <v>794903800</v>
      </c>
      <c r="H76" t="s">
        <v>81</v>
      </c>
      <c r="I76" t="s">
        <v>22</v>
      </c>
    </row>
    <row r="77" spans="1:9" ht="18" x14ac:dyDescent="0.2">
      <c r="A77" s="5">
        <v>45505</v>
      </c>
      <c r="B77" s="6">
        <v>40.44</v>
      </c>
      <c r="C77" s="6">
        <v>40.86</v>
      </c>
      <c r="D77" s="6">
        <v>35.14</v>
      </c>
      <c r="E77" s="6">
        <v>40.75</v>
      </c>
      <c r="F77" s="6">
        <v>39.56</v>
      </c>
      <c r="G77" s="7">
        <v>894057800</v>
      </c>
      <c r="H77" t="s">
        <v>81</v>
      </c>
      <c r="I77" t="s">
        <v>22</v>
      </c>
    </row>
    <row r="78" spans="1:9" ht="18" x14ac:dyDescent="0.2">
      <c r="A78" s="5">
        <v>45474</v>
      </c>
      <c r="B78" s="6">
        <v>39.909999999999997</v>
      </c>
      <c r="C78" s="6">
        <v>44.44</v>
      </c>
      <c r="D78" s="6">
        <v>39.67</v>
      </c>
      <c r="E78" s="6">
        <v>40.31</v>
      </c>
      <c r="F78" s="6">
        <v>39.130000000000003</v>
      </c>
      <c r="G78" s="7">
        <v>868095500</v>
      </c>
      <c r="H78" t="s">
        <v>81</v>
      </c>
      <c r="I78" t="s">
        <v>22</v>
      </c>
    </row>
    <row r="79" spans="1:9" ht="18" x14ac:dyDescent="0.2">
      <c r="A79" s="5">
        <v>45444</v>
      </c>
      <c r="B79" s="6">
        <v>40.04</v>
      </c>
      <c r="C79" s="6">
        <v>40.340000000000003</v>
      </c>
      <c r="D79" s="6">
        <v>38.340000000000003</v>
      </c>
      <c r="E79" s="6">
        <v>39.770000000000003</v>
      </c>
      <c r="F79" s="6">
        <v>38.369999999999997</v>
      </c>
      <c r="G79" s="7">
        <v>696786300</v>
      </c>
      <c r="H79" t="s">
        <v>81</v>
      </c>
      <c r="I79" t="s">
        <v>22</v>
      </c>
    </row>
    <row r="80" spans="1:9" ht="18" x14ac:dyDescent="0.2">
      <c r="A80" s="5">
        <v>45413</v>
      </c>
      <c r="B80" s="6">
        <v>37.21</v>
      </c>
      <c r="C80" s="6">
        <v>40.08</v>
      </c>
      <c r="D80" s="6">
        <v>36.65</v>
      </c>
      <c r="E80" s="6">
        <v>39.99</v>
      </c>
      <c r="F80" s="6">
        <v>38.58</v>
      </c>
      <c r="G80" s="7">
        <v>720885600</v>
      </c>
      <c r="H80" t="s">
        <v>81</v>
      </c>
      <c r="I80" t="s">
        <v>22</v>
      </c>
    </row>
    <row r="81" spans="1:9" ht="18" x14ac:dyDescent="0.2">
      <c r="A81" s="5">
        <v>45383</v>
      </c>
      <c r="B81" s="6">
        <v>37.94</v>
      </c>
      <c r="C81" s="6">
        <v>38.49</v>
      </c>
      <c r="D81" s="6">
        <v>34.15</v>
      </c>
      <c r="E81" s="6">
        <v>37.01</v>
      </c>
      <c r="F81" s="6">
        <v>35.71</v>
      </c>
      <c r="G81" s="7">
        <v>904458100</v>
      </c>
      <c r="H81" t="s">
        <v>81</v>
      </c>
      <c r="I81" t="s">
        <v>22</v>
      </c>
    </row>
    <row r="82" spans="1:9" ht="18" x14ac:dyDescent="0.2">
      <c r="A82" s="5">
        <v>45352</v>
      </c>
      <c r="B82" s="6">
        <v>34.53</v>
      </c>
      <c r="C82" s="6">
        <v>38</v>
      </c>
      <c r="D82" s="6">
        <v>34.03</v>
      </c>
      <c r="E82" s="6">
        <v>37.92</v>
      </c>
      <c r="F82" s="6">
        <v>36.590000000000003</v>
      </c>
      <c r="G82" s="7">
        <v>826724200</v>
      </c>
      <c r="H82" t="s">
        <v>81</v>
      </c>
      <c r="I82" t="s">
        <v>22</v>
      </c>
    </row>
    <row r="83" spans="1:9" ht="18" x14ac:dyDescent="0.2">
      <c r="A83" s="5">
        <v>45323</v>
      </c>
      <c r="B83" s="6">
        <v>33.93</v>
      </c>
      <c r="C83" s="6">
        <v>34.65</v>
      </c>
      <c r="D83" s="6">
        <v>32.35</v>
      </c>
      <c r="E83" s="6">
        <v>34.520000000000003</v>
      </c>
      <c r="F83" s="6">
        <v>33.07</v>
      </c>
      <c r="G83" s="7">
        <v>748360100</v>
      </c>
      <c r="H83" t="s">
        <v>81</v>
      </c>
      <c r="I83" t="s">
        <v>22</v>
      </c>
    </row>
    <row r="84" spans="1:9" ht="18" x14ac:dyDescent="0.2">
      <c r="A84" s="5">
        <v>45292</v>
      </c>
      <c r="B84" s="6">
        <v>33.39</v>
      </c>
      <c r="C84" s="6">
        <v>35.1</v>
      </c>
      <c r="D84" s="6">
        <v>31.27</v>
      </c>
      <c r="E84" s="6">
        <v>34.01</v>
      </c>
      <c r="F84" s="6">
        <v>32.58</v>
      </c>
      <c r="G84" s="7">
        <v>934161500</v>
      </c>
      <c r="H84" t="s">
        <v>81</v>
      </c>
      <c r="I84" t="s">
        <v>22</v>
      </c>
    </row>
    <row r="85" spans="1:9" ht="18" x14ac:dyDescent="0.2">
      <c r="A85" s="5">
        <v>45261</v>
      </c>
      <c r="B85" s="6">
        <v>30.4</v>
      </c>
      <c r="C85" s="6">
        <v>34.07</v>
      </c>
      <c r="D85" s="6">
        <v>30.33</v>
      </c>
      <c r="E85" s="6">
        <v>33.67</v>
      </c>
      <c r="F85" s="6">
        <v>32.26</v>
      </c>
      <c r="G85" s="7">
        <v>863795100</v>
      </c>
      <c r="H85" t="s">
        <v>81</v>
      </c>
      <c r="I85" t="s">
        <v>22</v>
      </c>
    </row>
    <row r="86" spans="1:9" ht="18" x14ac:dyDescent="0.2">
      <c r="A86" s="5">
        <v>45231</v>
      </c>
      <c r="B86" s="6">
        <v>26.44</v>
      </c>
      <c r="C86" s="6">
        <v>30.61</v>
      </c>
      <c r="D86" s="6">
        <v>26.15</v>
      </c>
      <c r="E86" s="6">
        <v>30.49</v>
      </c>
      <c r="F86" s="6">
        <v>28.98</v>
      </c>
      <c r="G86" s="7">
        <v>891085100</v>
      </c>
      <c r="H86" t="s">
        <v>81</v>
      </c>
      <c r="I86" t="s">
        <v>22</v>
      </c>
    </row>
    <row r="87" spans="1:9" ht="18" x14ac:dyDescent="0.2">
      <c r="A87" s="5">
        <v>45200</v>
      </c>
      <c r="B87" s="6">
        <v>27.27</v>
      </c>
      <c r="C87" s="6">
        <v>28.04</v>
      </c>
      <c r="D87" s="6">
        <v>24.96</v>
      </c>
      <c r="E87" s="6">
        <v>26.34</v>
      </c>
      <c r="F87" s="6">
        <v>25.04</v>
      </c>
      <c r="G87" s="7">
        <v>1225398800</v>
      </c>
      <c r="H87" t="s">
        <v>81</v>
      </c>
      <c r="I87" t="s">
        <v>22</v>
      </c>
    </row>
    <row r="88" spans="1:9" ht="18" x14ac:dyDescent="0.2">
      <c r="A88" s="5">
        <v>45170</v>
      </c>
      <c r="B88" s="6">
        <v>28.76</v>
      </c>
      <c r="C88" s="6">
        <v>29.44</v>
      </c>
      <c r="D88" s="6">
        <v>27.01</v>
      </c>
      <c r="E88" s="6">
        <v>27.38</v>
      </c>
      <c r="F88" s="6">
        <v>26.02</v>
      </c>
      <c r="G88" s="7">
        <v>777431200</v>
      </c>
      <c r="H88" t="s">
        <v>81</v>
      </c>
      <c r="I88" t="s">
        <v>22</v>
      </c>
    </row>
    <row r="89" spans="1:9" ht="18" x14ac:dyDescent="0.2">
      <c r="A89" s="5">
        <v>45139</v>
      </c>
      <c r="B89" s="6">
        <v>31.84</v>
      </c>
      <c r="C89" s="6">
        <v>31.94</v>
      </c>
      <c r="D89" s="6">
        <v>28.18</v>
      </c>
      <c r="E89" s="6">
        <v>28.67</v>
      </c>
      <c r="F89" s="6">
        <v>27.02</v>
      </c>
      <c r="G89" s="7">
        <v>809814400</v>
      </c>
      <c r="H89" t="s">
        <v>81</v>
      </c>
      <c r="I89" t="s">
        <v>22</v>
      </c>
    </row>
    <row r="90" spans="1:9" ht="18" x14ac:dyDescent="0.2">
      <c r="A90" s="5">
        <v>45108</v>
      </c>
      <c r="B90" s="6">
        <v>28.7</v>
      </c>
      <c r="C90" s="6">
        <v>32.85</v>
      </c>
      <c r="D90" s="6">
        <v>28.1</v>
      </c>
      <c r="E90" s="6">
        <v>32</v>
      </c>
      <c r="F90" s="6">
        <v>30.16</v>
      </c>
      <c r="G90" s="7">
        <v>968946700</v>
      </c>
      <c r="H90" t="s">
        <v>81</v>
      </c>
      <c r="I90" t="s">
        <v>22</v>
      </c>
    </row>
    <row r="91" spans="1:9" ht="18" x14ac:dyDescent="0.2">
      <c r="A91" s="5">
        <v>45078</v>
      </c>
      <c r="B91" s="6">
        <v>27.76</v>
      </c>
      <c r="C91" s="6">
        <v>29.8</v>
      </c>
      <c r="D91" s="6">
        <v>27.34</v>
      </c>
      <c r="E91" s="6">
        <v>28.69</v>
      </c>
      <c r="F91" s="6">
        <v>26.83</v>
      </c>
      <c r="G91" s="7">
        <v>968664200</v>
      </c>
      <c r="H91" t="s">
        <v>81</v>
      </c>
      <c r="I91" t="s">
        <v>22</v>
      </c>
    </row>
    <row r="92" spans="1:9" ht="18" x14ac:dyDescent="0.2">
      <c r="A92" s="5">
        <v>45047</v>
      </c>
      <c r="B92" s="6">
        <v>29.5</v>
      </c>
      <c r="C92" s="6">
        <v>29.54</v>
      </c>
      <c r="D92" s="6">
        <v>26.83</v>
      </c>
      <c r="E92" s="6">
        <v>27.79</v>
      </c>
      <c r="F92" s="6">
        <v>25.99</v>
      </c>
      <c r="G92" s="7">
        <v>1047826900</v>
      </c>
      <c r="H92" t="s">
        <v>81</v>
      </c>
      <c r="I92" t="s">
        <v>22</v>
      </c>
    </row>
    <row r="93" spans="1:9" ht="18" x14ac:dyDescent="0.2">
      <c r="A93" s="5">
        <v>45017</v>
      </c>
      <c r="B93" s="6">
        <v>28.64</v>
      </c>
      <c r="C93" s="6">
        <v>30.93</v>
      </c>
      <c r="D93" s="6">
        <v>27.46</v>
      </c>
      <c r="E93" s="6">
        <v>29.28</v>
      </c>
      <c r="F93" s="6">
        <v>27.38</v>
      </c>
      <c r="G93" s="7">
        <v>1028255800</v>
      </c>
      <c r="H93" t="s">
        <v>81</v>
      </c>
      <c r="I93" t="s">
        <v>22</v>
      </c>
    </row>
    <row r="94" spans="1:9" ht="18" x14ac:dyDescent="0.2">
      <c r="A94" s="5">
        <v>44986</v>
      </c>
      <c r="B94" s="6">
        <v>34.15</v>
      </c>
      <c r="C94" s="6">
        <v>34.56</v>
      </c>
      <c r="D94" s="6">
        <v>26.32</v>
      </c>
      <c r="E94" s="6">
        <v>28.6</v>
      </c>
      <c r="F94" s="6">
        <v>26.57</v>
      </c>
      <c r="G94" s="7">
        <v>2061004500</v>
      </c>
      <c r="H94" t="s">
        <v>81</v>
      </c>
      <c r="I94" t="s">
        <v>22</v>
      </c>
    </row>
    <row r="95" spans="1:9" ht="18" x14ac:dyDescent="0.2">
      <c r="A95" s="5">
        <v>44958</v>
      </c>
      <c r="B95" s="6">
        <v>35.200000000000003</v>
      </c>
      <c r="C95" s="6">
        <v>37</v>
      </c>
      <c r="D95" s="6">
        <v>33.840000000000003</v>
      </c>
      <c r="E95" s="6">
        <v>34.299999999999997</v>
      </c>
      <c r="F95" s="6">
        <v>31.87</v>
      </c>
      <c r="G95" s="7">
        <v>616776700</v>
      </c>
      <c r="H95" t="s">
        <v>81</v>
      </c>
      <c r="I95" t="s">
        <v>22</v>
      </c>
    </row>
    <row r="96" spans="1:9" ht="18" x14ac:dyDescent="0.2">
      <c r="A96" s="5">
        <v>44927</v>
      </c>
      <c r="B96" s="6">
        <v>33.229999999999997</v>
      </c>
      <c r="C96" s="6">
        <v>35.78</v>
      </c>
      <c r="D96" s="6">
        <v>32.89</v>
      </c>
      <c r="E96" s="6">
        <v>35.479999999999997</v>
      </c>
      <c r="F96" s="6">
        <v>32.97</v>
      </c>
      <c r="G96" s="7">
        <v>809281100</v>
      </c>
      <c r="H96" t="s">
        <v>81</v>
      </c>
      <c r="I96" t="s">
        <v>22</v>
      </c>
    </row>
    <row r="97" spans="1:9" ht="18" x14ac:dyDescent="0.2">
      <c r="A97" s="5">
        <v>44896</v>
      </c>
      <c r="B97" s="6">
        <v>37.5</v>
      </c>
      <c r="C97" s="6">
        <v>37.69</v>
      </c>
      <c r="D97" s="6">
        <v>31.35</v>
      </c>
      <c r="E97" s="6">
        <v>33.119999999999997</v>
      </c>
      <c r="F97" s="6">
        <v>30.59</v>
      </c>
      <c r="G97" s="7">
        <v>893060200</v>
      </c>
      <c r="H97" t="s">
        <v>81</v>
      </c>
      <c r="I97" t="s">
        <v>22</v>
      </c>
    </row>
    <row r="98" spans="1:9" ht="18" x14ac:dyDescent="0.2">
      <c r="A98" s="5">
        <v>44866</v>
      </c>
      <c r="B98" s="6">
        <v>36.44</v>
      </c>
      <c r="C98" s="6">
        <v>38.6</v>
      </c>
      <c r="D98" s="6">
        <v>35.409999999999997</v>
      </c>
      <c r="E98" s="6">
        <v>37.85</v>
      </c>
      <c r="F98" s="6">
        <v>34.96</v>
      </c>
      <c r="G98" s="7">
        <v>700345500</v>
      </c>
      <c r="H98" t="s">
        <v>81</v>
      </c>
      <c r="I98" t="s">
        <v>22</v>
      </c>
    </row>
    <row r="99" spans="1:9" ht="18" x14ac:dyDescent="0.2">
      <c r="A99" s="5">
        <v>44835</v>
      </c>
      <c r="B99" s="6">
        <v>30.59</v>
      </c>
      <c r="C99" s="6">
        <v>36.369999999999997</v>
      </c>
      <c r="D99" s="6">
        <v>29.31</v>
      </c>
      <c r="E99" s="6">
        <v>36.04</v>
      </c>
      <c r="F99" s="6">
        <v>33.29</v>
      </c>
      <c r="G99" s="7">
        <v>980931500</v>
      </c>
      <c r="H99" t="s">
        <v>81</v>
      </c>
      <c r="I99" t="s">
        <v>22</v>
      </c>
    </row>
    <row r="100" spans="1:9" ht="18" x14ac:dyDescent="0.2">
      <c r="A100" s="5">
        <v>44805</v>
      </c>
      <c r="B100" s="6">
        <v>33.340000000000003</v>
      </c>
      <c r="C100" s="6">
        <v>35.630000000000003</v>
      </c>
      <c r="D100" s="6">
        <v>30.17</v>
      </c>
      <c r="E100" s="6">
        <v>30.2</v>
      </c>
      <c r="F100" s="6">
        <v>27.71</v>
      </c>
      <c r="G100" s="7">
        <v>860183900</v>
      </c>
      <c r="H100" t="s">
        <v>81</v>
      </c>
      <c r="I100" t="s">
        <v>22</v>
      </c>
    </row>
    <row r="101" spans="1:9" ht="18" x14ac:dyDescent="0.2">
      <c r="A101" s="5">
        <v>44774</v>
      </c>
      <c r="B101" s="6">
        <v>33.619999999999997</v>
      </c>
      <c r="C101" s="6">
        <v>36.94</v>
      </c>
      <c r="D101" s="6">
        <v>33</v>
      </c>
      <c r="E101" s="6">
        <v>33.61</v>
      </c>
      <c r="F101" s="6">
        <v>30.84</v>
      </c>
      <c r="G101" s="7">
        <v>819363100</v>
      </c>
      <c r="H101" t="s">
        <v>81</v>
      </c>
      <c r="I101" t="s">
        <v>22</v>
      </c>
    </row>
    <row r="102" spans="1:9" ht="18" x14ac:dyDescent="0.2">
      <c r="A102" s="5">
        <v>44743</v>
      </c>
      <c r="B102" s="6">
        <v>30.98</v>
      </c>
      <c r="C102" s="6">
        <v>33.979999999999997</v>
      </c>
      <c r="D102" s="6">
        <v>29.67</v>
      </c>
      <c r="E102" s="6">
        <v>33.81</v>
      </c>
      <c r="F102" s="6">
        <v>31.03</v>
      </c>
      <c r="G102" s="7">
        <v>814208000</v>
      </c>
      <c r="H102" t="s">
        <v>81</v>
      </c>
      <c r="I102" t="s">
        <v>22</v>
      </c>
    </row>
    <row r="103" spans="1:9" ht="18" x14ac:dyDescent="0.2">
      <c r="A103" s="5">
        <v>44713</v>
      </c>
      <c r="B103" s="6">
        <v>37.46</v>
      </c>
      <c r="C103" s="6">
        <v>37.47</v>
      </c>
      <c r="D103" s="6">
        <v>30.64</v>
      </c>
      <c r="E103" s="6">
        <v>31.13</v>
      </c>
      <c r="F103" s="6">
        <v>28.4</v>
      </c>
      <c r="G103" s="7">
        <v>996294300</v>
      </c>
      <c r="H103" t="s">
        <v>81</v>
      </c>
      <c r="I103" t="s">
        <v>22</v>
      </c>
    </row>
    <row r="104" spans="1:9" ht="18" x14ac:dyDescent="0.2">
      <c r="A104" s="5">
        <v>44682</v>
      </c>
      <c r="B104" s="6">
        <v>36.03</v>
      </c>
      <c r="C104" s="6">
        <v>38.75</v>
      </c>
      <c r="D104" s="6">
        <v>32.96</v>
      </c>
      <c r="E104" s="6">
        <v>37.200000000000003</v>
      </c>
      <c r="F104" s="6">
        <v>33.94</v>
      </c>
      <c r="G104" s="7">
        <v>1107801400</v>
      </c>
      <c r="H104" t="s">
        <v>81</v>
      </c>
      <c r="I104" t="s">
        <v>22</v>
      </c>
    </row>
    <row r="105" spans="1:9" ht="18" x14ac:dyDescent="0.2">
      <c r="A105" s="5">
        <v>44652</v>
      </c>
      <c r="B105" s="6">
        <v>41.69</v>
      </c>
      <c r="C105" s="6">
        <v>41.74</v>
      </c>
      <c r="D105" s="6">
        <v>35.54</v>
      </c>
      <c r="E105" s="6">
        <v>35.68</v>
      </c>
      <c r="F105" s="6">
        <v>32.56</v>
      </c>
      <c r="G105" s="7">
        <v>1032209900</v>
      </c>
      <c r="H105" t="s">
        <v>81</v>
      </c>
      <c r="I105" t="s">
        <v>22</v>
      </c>
    </row>
    <row r="106" spans="1:9" ht="18" x14ac:dyDescent="0.2">
      <c r="A106" s="5">
        <v>44621</v>
      </c>
      <c r="B106" s="6">
        <v>43.71</v>
      </c>
      <c r="C106" s="6">
        <v>44.63</v>
      </c>
      <c r="D106" s="6">
        <v>38.17</v>
      </c>
      <c r="E106" s="6">
        <v>41.22</v>
      </c>
      <c r="F106" s="6">
        <v>37.43</v>
      </c>
      <c r="G106" s="7">
        <v>1312818500</v>
      </c>
      <c r="H106" t="s">
        <v>81</v>
      </c>
      <c r="I106" t="s">
        <v>22</v>
      </c>
    </row>
    <row r="107" spans="1:9" ht="18" x14ac:dyDescent="0.2">
      <c r="A107" s="5">
        <v>44593</v>
      </c>
      <c r="B107" s="6">
        <v>46.21</v>
      </c>
      <c r="C107" s="6">
        <v>50.11</v>
      </c>
      <c r="D107" s="6">
        <v>42.05</v>
      </c>
      <c r="E107" s="6">
        <v>44.2</v>
      </c>
      <c r="F107" s="6">
        <v>40.130000000000003</v>
      </c>
      <c r="G107" s="7">
        <v>941748700</v>
      </c>
      <c r="H107" t="s">
        <v>81</v>
      </c>
      <c r="I107" t="s">
        <v>22</v>
      </c>
    </row>
    <row r="108" spans="1:9" ht="18" x14ac:dyDescent="0.2">
      <c r="A108" s="5">
        <v>44562</v>
      </c>
      <c r="B108" s="6">
        <v>45.09</v>
      </c>
      <c r="C108" s="6">
        <v>50.08</v>
      </c>
      <c r="D108" s="6">
        <v>42.59</v>
      </c>
      <c r="E108" s="6">
        <v>46.14</v>
      </c>
      <c r="F108" s="6">
        <v>41.89</v>
      </c>
      <c r="G108" s="7">
        <v>1225178700</v>
      </c>
      <c r="H108" t="s">
        <v>81</v>
      </c>
      <c r="I108" t="s">
        <v>22</v>
      </c>
    </row>
    <row r="109" spans="1:9" ht="18" x14ac:dyDescent="0.2">
      <c r="A109" s="5">
        <v>44531</v>
      </c>
      <c r="B109" s="6">
        <v>45.22</v>
      </c>
      <c r="C109" s="6">
        <v>45.7</v>
      </c>
      <c r="D109" s="6">
        <v>42.7</v>
      </c>
      <c r="E109" s="6">
        <v>44.49</v>
      </c>
      <c r="F109" s="6">
        <v>40.200000000000003</v>
      </c>
      <c r="G109" s="7">
        <v>1060922000</v>
      </c>
      <c r="H109" t="s">
        <v>81</v>
      </c>
      <c r="I109" t="s">
        <v>22</v>
      </c>
    </row>
    <row r="110" spans="1:9" ht="18" x14ac:dyDescent="0.2">
      <c r="A110" s="5">
        <v>44501</v>
      </c>
      <c r="B110" s="6">
        <v>48.1</v>
      </c>
      <c r="C110" s="6">
        <v>48.69</v>
      </c>
      <c r="D110" s="6">
        <v>44.36</v>
      </c>
      <c r="E110" s="6">
        <v>44.47</v>
      </c>
      <c r="F110" s="6">
        <v>40.18</v>
      </c>
      <c r="G110" s="7">
        <v>895399100</v>
      </c>
      <c r="H110" t="s">
        <v>81</v>
      </c>
      <c r="I110" t="s">
        <v>22</v>
      </c>
    </row>
    <row r="111" spans="1:9" ht="18" x14ac:dyDescent="0.2">
      <c r="A111" s="5">
        <v>44470</v>
      </c>
      <c r="B111" s="6">
        <v>42.48</v>
      </c>
      <c r="C111" s="6">
        <v>48.43</v>
      </c>
      <c r="D111" s="6">
        <v>42.33</v>
      </c>
      <c r="E111" s="6">
        <v>47.78</v>
      </c>
      <c r="F111" s="6">
        <v>43.18</v>
      </c>
      <c r="G111" s="7">
        <v>917220900</v>
      </c>
      <c r="H111" t="s">
        <v>81</v>
      </c>
      <c r="I111" t="s">
        <v>22</v>
      </c>
    </row>
    <row r="112" spans="1:9" ht="18" x14ac:dyDescent="0.2">
      <c r="A112" s="5">
        <v>44440</v>
      </c>
      <c r="B112" s="6">
        <v>41.75</v>
      </c>
      <c r="C112" s="6">
        <v>44.04</v>
      </c>
      <c r="D112" s="6">
        <v>38.36</v>
      </c>
      <c r="E112" s="6">
        <v>42.45</v>
      </c>
      <c r="F112" s="6">
        <v>38.159999999999997</v>
      </c>
      <c r="G112" s="7">
        <v>1022318600</v>
      </c>
      <c r="H112" t="s">
        <v>81</v>
      </c>
      <c r="I112" t="s">
        <v>22</v>
      </c>
    </row>
    <row r="113" spans="1:9" ht="18" x14ac:dyDescent="0.2">
      <c r="A113" s="5">
        <v>44409</v>
      </c>
      <c r="B113" s="6">
        <v>38.4</v>
      </c>
      <c r="C113" s="6">
        <v>42.84</v>
      </c>
      <c r="D113" s="6">
        <v>37.549999999999997</v>
      </c>
      <c r="E113" s="6">
        <v>41.75</v>
      </c>
      <c r="F113" s="6">
        <v>37.53</v>
      </c>
      <c r="G113" s="7">
        <v>997266200</v>
      </c>
      <c r="H113" t="s">
        <v>81</v>
      </c>
      <c r="I113" t="s">
        <v>22</v>
      </c>
    </row>
    <row r="114" spans="1:9" ht="18" x14ac:dyDescent="0.2">
      <c r="A114" s="5">
        <v>44378</v>
      </c>
      <c r="B114" s="6">
        <v>41.56</v>
      </c>
      <c r="C114" s="6">
        <v>41.7</v>
      </c>
      <c r="D114" s="6">
        <v>36.51</v>
      </c>
      <c r="E114" s="6">
        <v>38.36</v>
      </c>
      <c r="F114" s="6">
        <v>34.49</v>
      </c>
      <c r="G114" s="7">
        <v>1060522600</v>
      </c>
      <c r="H114" t="s">
        <v>81</v>
      </c>
      <c r="I114" t="s">
        <v>22</v>
      </c>
    </row>
    <row r="115" spans="1:9" ht="18" x14ac:dyDescent="0.2">
      <c r="A115" s="5">
        <v>44348</v>
      </c>
      <c r="B115" s="6">
        <v>42.95</v>
      </c>
      <c r="C115" s="6">
        <v>43.49</v>
      </c>
      <c r="D115" s="6">
        <v>38.49</v>
      </c>
      <c r="E115" s="6">
        <v>41.23</v>
      </c>
      <c r="F115" s="6">
        <v>36.909999999999997</v>
      </c>
      <c r="G115" s="7">
        <v>984580900</v>
      </c>
      <c r="H115" t="s">
        <v>81</v>
      </c>
      <c r="I115" t="s">
        <v>22</v>
      </c>
    </row>
    <row r="116" spans="1:9" ht="18" x14ac:dyDescent="0.2">
      <c r="A116" s="5">
        <v>44317</v>
      </c>
      <c r="B116" s="6">
        <v>40.869999999999997</v>
      </c>
      <c r="C116" s="6">
        <v>43.26</v>
      </c>
      <c r="D116" s="6">
        <v>39.78</v>
      </c>
      <c r="E116" s="6">
        <v>42.39</v>
      </c>
      <c r="F116" s="6">
        <v>37.950000000000003</v>
      </c>
      <c r="G116" s="7">
        <v>823509600</v>
      </c>
      <c r="H116" t="s">
        <v>81</v>
      </c>
      <c r="I116" t="s">
        <v>22</v>
      </c>
    </row>
    <row r="117" spans="1:9" ht="18" x14ac:dyDescent="0.2">
      <c r="A117" s="5">
        <v>44287</v>
      </c>
      <c r="B117" s="6">
        <v>38.83</v>
      </c>
      <c r="C117" s="6">
        <v>41.13</v>
      </c>
      <c r="D117" s="6">
        <v>37.409999999999997</v>
      </c>
      <c r="E117" s="6">
        <v>40.53</v>
      </c>
      <c r="F117" s="6">
        <v>36.29</v>
      </c>
      <c r="G117" s="7">
        <v>1029977500</v>
      </c>
      <c r="H117" t="s">
        <v>81</v>
      </c>
      <c r="I117" t="s">
        <v>22</v>
      </c>
    </row>
    <row r="118" spans="1:9" ht="18" x14ac:dyDescent="0.2">
      <c r="A118" s="5">
        <v>44256</v>
      </c>
      <c r="B118" s="6">
        <v>35.520000000000003</v>
      </c>
      <c r="C118" s="6">
        <v>39.97</v>
      </c>
      <c r="D118" s="6">
        <v>35.24</v>
      </c>
      <c r="E118" s="6">
        <v>38.69</v>
      </c>
      <c r="F118" s="6">
        <v>34.47</v>
      </c>
      <c r="G118" s="7">
        <v>1378848200</v>
      </c>
      <c r="H118" t="s">
        <v>81</v>
      </c>
      <c r="I118" t="s">
        <v>22</v>
      </c>
    </row>
    <row r="119" spans="1:9" ht="18" x14ac:dyDescent="0.2">
      <c r="A119" s="5">
        <v>44228</v>
      </c>
      <c r="B119" s="6">
        <v>29.87</v>
      </c>
      <c r="C119" s="6">
        <v>37.03</v>
      </c>
      <c r="D119" s="6">
        <v>29.57</v>
      </c>
      <c r="E119" s="6">
        <v>34.71</v>
      </c>
      <c r="F119" s="6">
        <v>30.92</v>
      </c>
      <c r="G119" s="7">
        <v>949913300</v>
      </c>
      <c r="H119" t="s">
        <v>81</v>
      </c>
      <c r="I119" t="s">
        <v>22</v>
      </c>
    </row>
    <row r="120" spans="1:9" ht="18" x14ac:dyDescent="0.2">
      <c r="A120" s="5">
        <v>44197</v>
      </c>
      <c r="B120" s="6">
        <v>30.46</v>
      </c>
      <c r="C120" s="6">
        <v>34.369999999999997</v>
      </c>
      <c r="D120" s="6">
        <v>29.59</v>
      </c>
      <c r="E120" s="6">
        <v>29.65</v>
      </c>
      <c r="F120" s="6">
        <v>26.41</v>
      </c>
      <c r="G120" s="7">
        <v>1085862900</v>
      </c>
      <c r="H120" t="s">
        <v>81</v>
      </c>
      <c r="I120" t="s">
        <v>22</v>
      </c>
    </row>
    <row r="121" spans="1:9" ht="18" x14ac:dyDescent="0.2">
      <c r="A121" s="5">
        <v>44166</v>
      </c>
      <c r="B121" s="6">
        <v>28.74</v>
      </c>
      <c r="C121" s="6">
        <v>30.55</v>
      </c>
      <c r="D121" s="6">
        <v>28.14</v>
      </c>
      <c r="E121" s="6">
        <v>30.31</v>
      </c>
      <c r="F121" s="6">
        <v>26.83</v>
      </c>
      <c r="G121" s="7">
        <v>1027329000</v>
      </c>
      <c r="H121" t="s">
        <v>81</v>
      </c>
      <c r="I121" t="s">
        <v>22</v>
      </c>
    </row>
    <row r="122" spans="1:9" ht="18" x14ac:dyDescent="0.2">
      <c r="A122" s="5">
        <v>45962</v>
      </c>
      <c r="B122" s="6">
        <v>87.14</v>
      </c>
      <c r="C122" s="6">
        <v>88.64</v>
      </c>
      <c r="D122" s="6">
        <v>82.96</v>
      </c>
      <c r="E122" s="6">
        <v>85.05</v>
      </c>
      <c r="F122" s="6">
        <v>84.61</v>
      </c>
      <c r="G122" s="7">
        <v>152398200</v>
      </c>
      <c r="H122" t="s">
        <v>81</v>
      </c>
      <c r="I122" t="s">
        <v>23</v>
      </c>
    </row>
    <row r="123" spans="1:9" ht="18" x14ac:dyDescent="0.2">
      <c r="A123" s="5">
        <v>45931</v>
      </c>
      <c r="B123" s="6">
        <v>83.1</v>
      </c>
      <c r="C123" s="6">
        <v>87.47</v>
      </c>
      <c r="D123" s="6">
        <v>77.62</v>
      </c>
      <c r="E123" s="6">
        <v>86.97</v>
      </c>
      <c r="F123" s="6">
        <v>86.52</v>
      </c>
      <c r="G123" s="7">
        <v>366280200</v>
      </c>
      <c r="H123" t="s">
        <v>81</v>
      </c>
      <c r="I123" t="s">
        <v>23</v>
      </c>
    </row>
    <row r="124" spans="1:9" ht="18" x14ac:dyDescent="0.2">
      <c r="A124" s="5">
        <v>45901</v>
      </c>
      <c r="B124" s="6">
        <v>81.709999999999994</v>
      </c>
      <c r="C124" s="6">
        <v>86.66</v>
      </c>
      <c r="D124" s="6">
        <v>78.56</v>
      </c>
      <c r="E124" s="6">
        <v>83.82</v>
      </c>
      <c r="F124" s="6">
        <v>83.38</v>
      </c>
      <c r="G124" s="7">
        <v>296633400</v>
      </c>
      <c r="H124" t="s">
        <v>81</v>
      </c>
      <c r="I124" t="s">
        <v>23</v>
      </c>
    </row>
    <row r="125" spans="1:9" ht="18" x14ac:dyDescent="0.2">
      <c r="A125" s="5">
        <v>45870</v>
      </c>
      <c r="B125" s="6">
        <v>79.19</v>
      </c>
      <c r="C125" s="6">
        <v>83.21</v>
      </c>
      <c r="D125" s="6">
        <v>76.16</v>
      </c>
      <c r="E125" s="6">
        <v>82.18</v>
      </c>
      <c r="F125" s="6">
        <v>81.27</v>
      </c>
      <c r="G125" s="7">
        <v>284526700</v>
      </c>
      <c r="H125" t="s">
        <v>81</v>
      </c>
      <c r="I125" t="s">
        <v>23</v>
      </c>
    </row>
    <row r="126" spans="1:9" ht="18" x14ac:dyDescent="0.2">
      <c r="A126" s="5">
        <v>45839</v>
      </c>
      <c r="B126" s="6">
        <v>80.05</v>
      </c>
      <c r="C126" s="6">
        <v>84.83</v>
      </c>
      <c r="D126" s="6">
        <v>77.72</v>
      </c>
      <c r="E126" s="6">
        <v>80.63</v>
      </c>
      <c r="F126" s="6">
        <v>79.739999999999995</v>
      </c>
      <c r="G126" s="7">
        <v>417623500</v>
      </c>
      <c r="H126" t="s">
        <v>81</v>
      </c>
      <c r="I126" t="s">
        <v>23</v>
      </c>
    </row>
    <row r="127" spans="1:9" ht="18" x14ac:dyDescent="0.2">
      <c r="A127" s="5">
        <v>45809</v>
      </c>
      <c r="B127" s="6">
        <v>74.260000000000005</v>
      </c>
      <c r="C127" s="6">
        <v>81.099999999999994</v>
      </c>
      <c r="D127" s="6">
        <v>71.930000000000007</v>
      </c>
      <c r="E127" s="6">
        <v>80.12</v>
      </c>
      <c r="F127" s="6">
        <v>79.239999999999995</v>
      </c>
      <c r="G127" s="7">
        <v>356076100</v>
      </c>
      <c r="H127" t="s">
        <v>81</v>
      </c>
      <c r="I127" t="s">
        <v>23</v>
      </c>
    </row>
    <row r="128" spans="1:9" ht="18" x14ac:dyDescent="0.2">
      <c r="A128" s="5">
        <v>45778</v>
      </c>
      <c r="B128" s="6">
        <v>70.760000000000005</v>
      </c>
      <c r="C128" s="6">
        <v>76.58</v>
      </c>
      <c r="D128" s="6">
        <v>70.430000000000007</v>
      </c>
      <c r="E128" s="6">
        <v>74.78</v>
      </c>
      <c r="F128" s="6">
        <v>73.55</v>
      </c>
      <c r="G128" s="7">
        <v>305735400</v>
      </c>
      <c r="H128" t="s">
        <v>81</v>
      </c>
      <c r="I128" t="s">
        <v>23</v>
      </c>
    </row>
    <row r="129" spans="1:9" ht="18" x14ac:dyDescent="0.2">
      <c r="A129" s="5">
        <v>45748</v>
      </c>
      <c r="B129" s="6">
        <v>70.84</v>
      </c>
      <c r="C129" s="6">
        <v>72.47</v>
      </c>
      <c r="D129" s="6">
        <v>58.42</v>
      </c>
      <c r="E129" s="6">
        <v>71.010000000000005</v>
      </c>
      <c r="F129" s="6">
        <v>69.84</v>
      </c>
      <c r="G129" s="7">
        <v>493519900</v>
      </c>
      <c r="H129" t="s">
        <v>81</v>
      </c>
      <c r="I129" t="s">
        <v>23</v>
      </c>
    </row>
    <row r="130" spans="1:9" ht="18" x14ac:dyDescent="0.2">
      <c r="A130" s="5">
        <v>45717</v>
      </c>
      <c r="B130" s="6">
        <v>78.86</v>
      </c>
      <c r="C130" s="6">
        <v>78.98</v>
      </c>
      <c r="D130" s="6">
        <v>65.52</v>
      </c>
      <c r="E130" s="6">
        <v>71.790000000000006</v>
      </c>
      <c r="F130" s="6">
        <v>70.61</v>
      </c>
      <c r="G130" s="7">
        <v>363280500</v>
      </c>
      <c r="H130" t="s">
        <v>81</v>
      </c>
      <c r="I130" t="s">
        <v>23</v>
      </c>
    </row>
    <row r="131" spans="1:9" ht="18" x14ac:dyDescent="0.2">
      <c r="A131" s="5">
        <v>45689</v>
      </c>
      <c r="B131" s="6">
        <v>77.23</v>
      </c>
      <c r="C131" s="6">
        <v>81.5</v>
      </c>
      <c r="D131" s="6">
        <v>74.930000000000007</v>
      </c>
      <c r="E131" s="6">
        <v>78.319999999999993</v>
      </c>
      <c r="F131" s="6">
        <v>76.650000000000006</v>
      </c>
      <c r="G131" s="7">
        <v>298858000</v>
      </c>
      <c r="H131" t="s">
        <v>81</v>
      </c>
      <c r="I131" t="s">
        <v>23</v>
      </c>
    </row>
    <row r="132" spans="1:9" ht="18" x14ac:dyDescent="0.2">
      <c r="A132" s="5">
        <v>45658</v>
      </c>
      <c r="B132" s="6">
        <v>70.48</v>
      </c>
      <c r="C132" s="6">
        <v>79.290000000000006</v>
      </c>
      <c r="D132" s="6">
        <v>69.34</v>
      </c>
      <c r="E132" s="6">
        <v>78.8</v>
      </c>
      <c r="F132" s="6">
        <v>77.12</v>
      </c>
      <c r="G132" s="7">
        <v>300692400</v>
      </c>
      <c r="H132" t="s">
        <v>81</v>
      </c>
      <c r="I132" t="s">
        <v>23</v>
      </c>
    </row>
    <row r="133" spans="1:9" ht="18" x14ac:dyDescent="0.2">
      <c r="A133" s="5">
        <v>45627</v>
      </c>
      <c r="B133" s="6">
        <v>76.95</v>
      </c>
      <c r="C133" s="6">
        <v>76.95</v>
      </c>
      <c r="D133" s="6">
        <v>68.61</v>
      </c>
      <c r="E133" s="6">
        <v>70.239999999999995</v>
      </c>
      <c r="F133" s="6">
        <v>68.75</v>
      </c>
      <c r="G133" s="7">
        <v>322967900</v>
      </c>
      <c r="H133" t="s">
        <v>81</v>
      </c>
      <c r="I133" t="s">
        <v>23</v>
      </c>
    </row>
    <row r="134" spans="1:9" ht="18" x14ac:dyDescent="0.2">
      <c r="A134" s="5">
        <v>45597</v>
      </c>
      <c r="B134" s="6">
        <v>65.22</v>
      </c>
      <c r="C134" s="6">
        <v>78.13</v>
      </c>
      <c r="D134" s="6">
        <v>63.05</v>
      </c>
      <c r="E134" s="6">
        <v>76.17</v>
      </c>
      <c r="F134" s="6">
        <v>74.12</v>
      </c>
      <c r="G134" s="7">
        <v>382978600</v>
      </c>
      <c r="H134" t="s">
        <v>81</v>
      </c>
      <c r="I134" t="s">
        <v>23</v>
      </c>
    </row>
    <row r="135" spans="1:9" ht="18" x14ac:dyDescent="0.2">
      <c r="A135" s="5">
        <v>45566</v>
      </c>
      <c r="B135" s="6">
        <v>56</v>
      </c>
      <c r="C135" s="6">
        <v>66.400000000000006</v>
      </c>
      <c r="D135" s="6">
        <v>54.41</v>
      </c>
      <c r="E135" s="6">
        <v>64.92</v>
      </c>
      <c r="F135" s="6">
        <v>63.18</v>
      </c>
      <c r="G135" s="7">
        <v>387173600</v>
      </c>
      <c r="H135" t="s">
        <v>81</v>
      </c>
      <c r="I135" t="s">
        <v>23</v>
      </c>
    </row>
    <row r="136" spans="1:9" ht="18" x14ac:dyDescent="0.2">
      <c r="A136" s="5">
        <v>45536</v>
      </c>
      <c r="B136" s="6">
        <v>58.62</v>
      </c>
      <c r="C136" s="6">
        <v>59</v>
      </c>
      <c r="D136" s="6">
        <v>50.22</v>
      </c>
      <c r="E136" s="6">
        <v>56.49</v>
      </c>
      <c r="F136" s="6">
        <v>54.97</v>
      </c>
      <c r="G136" s="7">
        <v>420231200</v>
      </c>
      <c r="H136" t="s">
        <v>81</v>
      </c>
      <c r="I136" t="s">
        <v>23</v>
      </c>
    </row>
    <row r="137" spans="1:9" ht="18" x14ac:dyDescent="0.2">
      <c r="A137" s="5">
        <v>45505</v>
      </c>
      <c r="B137" s="6">
        <v>59.26</v>
      </c>
      <c r="C137" s="6">
        <v>59.34</v>
      </c>
      <c r="D137" s="6">
        <v>50.15</v>
      </c>
      <c r="E137" s="6">
        <v>58.47</v>
      </c>
      <c r="F137" s="6">
        <v>56.47</v>
      </c>
      <c r="G137" s="7">
        <v>348723100</v>
      </c>
      <c r="H137" t="s">
        <v>81</v>
      </c>
      <c r="I137" t="s">
        <v>23</v>
      </c>
    </row>
    <row r="138" spans="1:9" ht="18" x14ac:dyDescent="0.2">
      <c r="A138" s="5">
        <v>45474</v>
      </c>
      <c r="B138" s="6">
        <v>59.61</v>
      </c>
      <c r="C138" s="6">
        <v>61.18</v>
      </c>
      <c r="D138" s="6">
        <v>55.6</v>
      </c>
      <c r="E138" s="6">
        <v>59.34</v>
      </c>
      <c r="F138" s="6">
        <v>57.31</v>
      </c>
      <c r="G138" s="7">
        <v>343211000</v>
      </c>
      <c r="H138" t="s">
        <v>81</v>
      </c>
      <c r="I138" t="s">
        <v>23</v>
      </c>
    </row>
    <row r="139" spans="1:9" ht="18" x14ac:dyDescent="0.2">
      <c r="A139" s="5">
        <v>45444</v>
      </c>
      <c r="B139" s="6">
        <v>60.2</v>
      </c>
      <c r="C139" s="6">
        <v>60.2</v>
      </c>
      <c r="D139" s="6">
        <v>56.33</v>
      </c>
      <c r="E139" s="6">
        <v>59.39</v>
      </c>
      <c r="F139" s="6">
        <v>57.36</v>
      </c>
      <c r="G139" s="7">
        <v>377118800</v>
      </c>
      <c r="H139" t="s">
        <v>81</v>
      </c>
      <c r="I139" t="s">
        <v>23</v>
      </c>
    </row>
    <row r="140" spans="1:9" ht="18" x14ac:dyDescent="0.2">
      <c r="A140" s="5">
        <v>45413</v>
      </c>
      <c r="B140" s="6">
        <v>59.58</v>
      </c>
      <c r="C140" s="6">
        <v>62.55</v>
      </c>
      <c r="D140" s="6">
        <v>58.42</v>
      </c>
      <c r="E140" s="6">
        <v>59.92</v>
      </c>
      <c r="F140" s="6">
        <v>57.54</v>
      </c>
      <c r="G140" s="7">
        <v>342804600</v>
      </c>
      <c r="H140" t="s">
        <v>81</v>
      </c>
      <c r="I140" t="s">
        <v>23</v>
      </c>
    </row>
    <row r="141" spans="1:9" ht="18" x14ac:dyDescent="0.2">
      <c r="A141" s="5">
        <v>45383</v>
      </c>
      <c r="B141" s="6">
        <v>57.88</v>
      </c>
      <c r="C141" s="6">
        <v>61.76</v>
      </c>
      <c r="D141" s="6">
        <v>55.34</v>
      </c>
      <c r="E141" s="6">
        <v>59.32</v>
      </c>
      <c r="F141" s="6">
        <v>56.96</v>
      </c>
      <c r="G141" s="7">
        <v>413690600</v>
      </c>
      <c r="H141" t="s">
        <v>81</v>
      </c>
      <c r="I141" t="s">
        <v>23</v>
      </c>
    </row>
    <row r="142" spans="1:9" ht="18" x14ac:dyDescent="0.2">
      <c r="A142" s="5">
        <v>45352</v>
      </c>
      <c r="B142" s="6">
        <v>55.4</v>
      </c>
      <c r="C142" s="6">
        <v>58.44</v>
      </c>
      <c r="D142" s="6">
        <v>54.73</v>
      </c>
      <c r="E142" s="6">
        <v>57.96</v>
      </c>
      <c r="F142" s="6">
        <v>55.65</v>
      </c>
      <c r="G142" s="7">
        <v>384218700</v>
      </c>
      <c r="H142" t="s">
        <v>81</v>
      </c>
      <c r="I142" t="s">
        <v>23</v>
      </c>
    </row>
    <row r="143" spans="1:9" ht="18" x14ac:dyDescent="0.2">
      <c r="A143" s="5">
        <v>45323</v>
      </c>
      <c r="B143" s="6">
        <v>49.82</v>
      </c>
      <c r="C143" s="6">
        <v>55.7</v>
      </c>
      <c r="D143" s="6">
        <v>47.45</v>
      </c>
      <c r="E143" s="6">
        <v>55.59</v>
      </c>
      <c r="F143" s="6">
        <v>53.01</v>
      </c>
      <c r="G143" s="7">
        <v>395337800</v>
      </c>
      <c r="H143" t="s">
        <v>81</v>
      </c>
      <c r="I143" t="s">
        <v>23</v>
      </c>
    </row>
    <row r="144" spans="1:9" ht="18" x14ac:dyDescent="0.2">
      <c r="A144" s="5">
        <v>45292</v>
      </c>
      <c r="B144" s="6">
        <v>49.05</v>
      </c>
      <c r="C144" s="6">
        <v>51.44</v>
      </c>
      <c r="D144" s="6">
        <v>46.12</v>
      </c>
      <c r="E144" s="6">
        <v>50.18</v>
      </c>
      <c r="F144" s="6">
        <v>47.85</v>
      </c>
      <c r="G144" s="7">
        <v>388441000</v>
      </c>
      <c r="H144" t="s">
        <v>81</v>
      </c>
      <c r="I144" t="s">
        <v>23</v>
      </c>
    </row>
    <row r="145" spans="1:9" ht="18" x14ac:dyDescent="0.2">
      <c r="A145" s="5">
        <v>45261</v>
      </c>
      <c r="B145" s="6">
        <v>44.51</v>
      </c>
      <c r="C145" s="6">
        <v>50.77</v>
      </c>
      <c r="D145" s="6">
        <v>44.38</v>
      </c>
      <c r="E145" s="6">
        <v>49.22</v>
      </c>
      <c r="F145" s="6">
        <v>46.93</v>
      </c>
      <c r="G145" s="7">
        <v>382836700</v>
      </c>
      <c r="H145" t="s">
        <v>81</v>
      </c>
      <c r="I145" t="s">
        <v>23</v>
      </c>
    </row>
    <row r="146" spans="1:9" ht="18" x14ac:dyDescent="0.2">
      <c r="A146" s="5">
        <v>45231</v>
      </c>
      <c r="B146" s="6">
        <v>39.96</v>
      </c>
      <c r="C146" s="6">
        <v>44.75</v>
      </c>
      <c r="D146" s="6">
        <v>39.28</v>
      </c>
      <c r="E146" s="6">
        <v>44.59</v>
      </c>
      <c r="F146" s="6">
        <v>42.14</v>
      </c>
      <c r="G146" s="7">
        <v>328148500</v>
      </c>
      <c r="H146" t="s">
        <v>81</v>
      </c>
      <c r="I146" t="s">
        <v>23</v>
      </c>
    </row>
    <row r="147" spans="1:9" ht="18" x14ac:dyDescent="0.2">
      <c r="A147" s="5">
        <v>45200</v>
      </c>
      <c r="B147" s="6">
        <v>40.700000000000003</v>
      </c>
      <c r="C147" s="6">
        <v>42.37</v>
      </c>
      <c r="D147" s="6">
        <v>38.39</v>
      </c>
      <c r="E147" s="6">
        <v>39.770000000000003</v>
      </c>
      <c r="F147" s="6">
        <v>37.590000000000003</v>
      </c>
      <c r="G147" s="7">
        <v>341744500</v>
      </c>
      <c r="H147" t="s">
        <v>81</v>
      </c>
      <c r="I147" t="s">
        <v>23</v>
      </c>
    </row>
    <row r="148" spans="1:9" ht="18" x14ac:dyDescent="0.2">
      <c r="A148" s="5">
        <v>45170</v>
      </c>
      <c r="B148" s="6">
        <v>41.55</v>
      </c>
      <c r="C148" s="6">
        <v>43.74</v>
      </c>
      <c r="D148" s="6">
        <v>40.299999999999997</v>
      </c>
      <c r="E148" s="6">
        <v>40.86</v>
      </c>
      <c r="F148" s="6">
        <v>38.619999999999997</v>
      </c>
      <c r="G148" s="7">
        <v>333548000</v>
      </c>
      <c r="H148" t="s">
        <v>81</v>
      </c>
      <c r="I148" t="s">
        <v>23</v>
      </c>
    </row>
    <row r="149" spans="1:9" ht="18" x14ac:dyDescent="0.2">
      <c r="A149" s="5">
        <v>45139</v>
      </c>
      <c r="B149" s="6">
        <v>46.01</v>
      </c>
      <c r="C149" s="6">
        <v>46.16</v>
      </c>
      <c r="D149" s="6">
        <v>40.770000000000003</v>
      </c>
      <c r="E149" s="6">
        <v>41.29</v>
      </c>
      <c r="F149" s="6">
        <v>38.72</v>
      </c>
      <c r="G149" s="7">
        <v>284173100</v>
      </c>
      <c r="H149" t="s">
        <v>81</v>
      </c>
      <c r="I149" t="s">
        <v>23</v>
      </c>
    </row>
    <row r="150" spans="1:9" ht="18" x14ac:dyDescent="0.2">
      <c r="A150" s="5">
        <v>45108</v>
      </c>
      <c r="B150" s="6">
        <v>42.88</v>
      </c>
      <c r="C150" s="6">
        <v>47.24</v>
      </c>
      <c r="D150" s="6">
        <v>42.07</v>
      </c>
      <c r="E150" s="6">
        <v>46.16</v>
      </c>
      <c r="F150" s="6">
        <v>43.29</v>
      </c>
      <c r="G150" s="7">
        <v>340830500</v>
      </c>
      <c r="H150" t="s">
        <v>81</v>
      </c>
      <c r="I150" t="s">
        <v>23</v>
      </c>
    </row>
    <row r="151" spans="1:9" ht="18" x14ac:dyDescent="0.2">
      <c r="A151" s="5">
        <v>45078</v>
      </c>
      <c r="B151" s="6">
        <v>40.21</v>
      </c>
      <c r="C151" s="6">
        <v>43.34</v>
      </c>
      <c r="D151" s="6">
        <v>39.68</v>
      </c>
      <c r="E151" s="6">
        <v>42.68</v>
      </c>
      <c r="F151" s="6">
        <v>40.020000000000003</v>
      </c>
      <c r="G151" s="7">
        <v>363195000</v>
      </c>
      <c r="H151" t="s">
        <v>81</v>
      </c>
      <c r="I151" t="s">
        <v>23</v>
      </c>
    </row>
    <row r="152" spans="1:9" ht="18" x14ac:dyDescent="0.2">
      <c r="A152" s="5">
        <v>45047</v>
      </c>
      <c r="B152" s="6">
        <v>40.49</v>
      </c>
      <c r="C152" s="6">
        <v>42.12</v>
      </c>
      <c r="D152" s="6">
        <v>36.4</v>
      </c>
      <c r="E152" s="6">
        <v>39.81</v>
      </c>
      <c r="F152" s="6">
        <v>37.04</v>
      </c>
      <c r="G152" s="7">
        <v>538516100</v>
      </c>
      <c r="H152" t="s">
        <v>81</v>
      </c>
      <c r="I152" t="s">
        <v>23</v>
      </c>
    </row>
    <row r="153" spans="1:9" ht="18" x14ac:dyDescent="0.2">
      <c r="A153" s="5">
        <v>45017</v>
      </c>
      <c r="B153" s="6">
        <v>37.520000000000003</v>
      </c>
      <c r="C153" s="6">
        <v>42.41</v>
      </c>
      <c r="D153" s="6">
        <v>36.270000000000003</v>
      </c>
      <c r="E153" s="6">
        <v>39.75</v>
      </c>
      <c r="F153" s="6">
        <v>36.99</v>
      </c>
      <c r="G153" s="7">
        <v>450940100</v>
      </c>
      <c r="H153" t="s">
        <v>81</v>
      </c>
      <c r="I153" t="s">
        <v>23</v>
      </c>
    </row>
    <row r="154" spans="1:9" ht="18" x14ac:dyDescent="0.2">
      <c r="A154" s="5">
        <v>44986</v>
      </c>
      <c r="B154" s="6">
        <v>46.5</v>
      </c>
      <c r="C154" s="6">
        <v>47.18</v>
      </c>
      <c r="D154" s="6">
        <v>35.25</v>
      </c>
      <c r="E154" s="6">
        <v>37.380000000000003</v>
      </c>
      <c r="F154" s="6">
        <v>34.78</v>
      </c>
      <c r="G154" s="7">
        <v>730423100</v>
      </c>
      <c r="H154" t="s">
        <v>81</v>
      </c>
      <c r="I154" t="s">
        <v>23</v>
      </c>
    </row>
    <row r="155" spans="1:9" ht="18" x14ac:dyDescent="0.2">
      <c r="A155" s="5">
        <v>44958</v>
      </c>
      <c r="B155" s="6">
        <v>46.66</v>
      </c>
      <c r="C155" s="6">
        <v>48.84</v>
      </c>
      <c r="D155" s="6">
        <v>45.69</v>
      </c>
      <c r="E155" s="6">
        <v>46.77</v>
      </c>
      <c r="F155" s="6">
        <v>43.24</v>
      </c>
      <c r="G155" s="7">
        <v>314575300</v>
      </c>
      <c r="H155" t="s">
        <v>81</v>
      </c>
      <c r="I155" t="s">
        <v>23</v>
      </c>
    </row>
    <row r="156" spans="1:9" ht="18" x14ac:dyDescent="0.2">
      <c r="A156" s="5">
        <v>44927</v>
      </c>
      <c r="B156" s="6">
        <v>41.61</v>
      </c>
      <c r="C156" s="6">
        <v>46.88</v>
      </c>
      <c r="D156" s="6">
        <v>40.46</v>
      </c>
      <c r="E156" s="6">
        <v>46.87</v>
      </c>
      <c r="F156" s="6">
        <v>43.34</v>
      </c>
      <c r="G156" s="7">
        <v>398335300</v>
      </c>
      <c r="H156" t="s">
        <v>81</v>
      </c>
      <c r="I156" t="s">
        <v>23</v>
      </c>
    </row>
    <row r="157" spans="1:9" ht="18" x14ac:dyDescent="0.2">
      <c r="A157" s="5">
        <v>44896</v>
      </c>
      <c r="B157" s="6">
        <v>47.93</v>
      </c>
      <c r="C157" s="6">
        <v>48.18</v>
      </c>
      <c r="D157" s="6">
        <v>40.020000000000003</v>
      </c>
      <c r="E157" s="6">
        <v>41.29</v>
      </c>
      <c r="F157" s="6">
        <v>38.18</v>
      </c>
      <c r="G157" s="7">
        <v>414604800</v>
      </c>
      <c r="H157" t="s">
        <v>81</v>
      </c>
      <c r="I157" t="s">
        <v>23</v>
      </c>
    </row>
    <row r="158" spans="1:9" ht="18" x14ac:dyDescent="0.2">
      <c r="A158" s="5">
        <v>44866</v>
      </c>
      <c r="B158" s="6">
        <v>46.58</v>
      </c>
      <c r="C158" s="6">
        <v>48.36</v>
      </c>
      <c r="D158" s="6">
        <v>45.41</v>
      </c>
      <c r="E158" s="6">
        <v>47.95</v>
      </c>
      <c r="F158" s="6">
        <v>44.05</v>
      </c>
      <c r="G158" s="7">
        <v>348895000</v>
      </c>
      <c r="H158" t="s">
        <v>81</v>
      </c>
      <c r="I158" t="s">
        <v>23</v>
      </c>
    </row>
    <row r="159" spans="1:9" ht="18" x14ac:dyDescent="0.2">
      <c r="A159" s="5">
        <v>44835</v>
      </c>
      <c r="B159" s="6">
        <v>41.29</v>
      </c>
      <c r="C159" s="6">
        <v>46.52</v>
      </c>
      <c r="D159" s="6">
        <v>39.75</v>
      </c>
      <c r="E159" s="6">
        <v>45.99</v>
      </c>
      <c r="F159" s="6">
        <v>42.25</v>
      </c>
      <c r="G159" s="7">
        <v>383039100</v>
      </c>
      <c r="H159" t="s">
        <v>81</v>
      </c>
      <c r="I159" t="s">
        <v>23</v>
      </c>
    </row>
    <row r="160" spans="1:9" ht="18" x14ac:dyDescent="0.2">
      <c r="A160" s="5">
        <v>44805</v>
      </c>
      <c r="B160" s="6">
        <v>43.66</v>
      </c>
      <c r="C160" s="6">
        <v>46.14</v>
      </c>
      <c r="D160" s="6">
        <v>39.340000000000003</v>
      </c>
      <c r="E160" s="6">
        <v>40.22</v>
      </c>
      <c r="F160" s="6">
        <v>36.950000000000003</v>
      </c>
      <c r="G160" s="7">
        <v>354330500</v>
      </c>
      <c r="H160" t="s">
        <v>81</v>
      </c>
      <c r="I160" t="s">
        <v>23</v>
      </c>
    </row>
    <row r="161" spans="1:9" ht="18" x14ac:dyDescent="0.2">
      <c r="A161" s="5">
        <v>44774</v>
      </c>
      <c r="B161" s="6">
        <v>43.44</v>
      </c>
      <c r="C161" s="6">
        <v>46.32</v>
      </c>
      <c r="D161" s="6">
        <v>42.53</v>
      </c>
      <c r="E161" s="6">
        <v>43.71</v>
      </c>
      <c r="F161" s="6">
        <v>39.880000000000003</v>
      </c>
      <c r="G161" s="7">
        <v>308752700</v>
      </c>
      <c r="H161" t="s">
        <v>81</v>
      </c>
      <c r="I161" t="s">
        <v>23</v>
      </c>
    </row>
    <row r="162" spans="1:9" ht="18" x14ac:dyDescent="0.2">
      <c r="A162" s="5">
        <v>44743</v>
      </c>
      <c r="B162" s="6">
        <v>38.72</v>
      </c>
      <c r="C162" s="6">
        <v>44.35</v>
      </c>
      <c r="D162" s="6">
        <v>37.43</v>
      </c>
      <c r="E162" s="6">
        <v>43.87</v>
      </c>
      <c r="F162" s="6">
        <v>40.03</v>
      </c>
      <c r="G162" s="7">
        <v>377913800</v>
      </c>
      <c r="H162" t="s">
        <v>81</v>
      </c>
      <c r="I162" t="s">
        <v>23</v>
      </c>
    </row>
    <row r="163" spans="1:9" ht="18" x14ac:dyDescent="0.2">
      <c r="A163" s="5">
        <v>44713</v>
      </c>
      <c r="B163" s="6">
        <v>45.96</v>
      </c>
      <c r="C163" s="6">
        <v>46.07</v>
      </c>
      <c r="D163" s="6">
        <v>36.54</v>
      </c>
      <c r="E163" s="6">
        <v>39.17</v>
      </c>
      <c r="F163" s="6">
        <v>35.74</v>
      </c>
      <c r="G163" s="7">
        <v>503139500</v>
      </c>
      <c r="H163" t="s">
        <v>81</v>
      </c>
      <c r="I163" t="s">
        <v>23</v>
      </c>
    </row>
    <row r="164" spans="1:9" ht="18" x14ac:dyDescent="0.2">
      <c r="A164" s="5">
        <v>44682</v>
      </c>
      <c r="B164" s="6">
        <v>43.87</v>
      </c>
      <c r="C164" s="6">
        <v>46.27</v>
      </c>
      <c r="D164" s="6">
        <v>40.74</v>
      </c>
      <c r="E164" s="6">
        <v>45.77</v>
      </c>
      <c r="F164" s="6">
        <v>41.53</v>
      </c>
      <c r="G164" s="7">
        <v>548344800</v>
      </c>
      <c r="H164" t="s">
        <v>81</v>
      </c>
      <c r="I164" t="s">
        <v>23</v>
      </c>
    </row>
    <row r="165" spans="1:9" ht="18" x14ac:dyDescent="0.2">
      <c r="A165" s="5">
        <v>44652</v>
      </c>
      <c r="B165" s="6">
        <v>49.25</v>
      </c>
      <c r="C165" s="6">
        <v>50.19</v>
      </c>
      <c r="D165" s="6">
        <v>43.51</v>
      </c>
      <c r="E165" s="6">
        <v>43.63</v>
      </c>
      <c r="F165" s="6">
        <v>39.590000000000003</v>
      </c>
      <c r="G165" s="7">
        <v>521880200</v>
      </c>
      <c r="H165" t="s">
        <v>81</v>
      </c>
      <c r="I165" t="s">
        <v>23</v>
      </c>
    </row>
    <row r="166" spans="1:9" ht="18" x14ac:dyDescent="0.2">
      <c r="A166" s="5">
        <v>44621</v>
      </c>
      <c r="B166" s="6">
        <v>52.44</v>
      </c>
      <c r="C166" s="6">
        <v>54.2</v>
      </c>
      <c r="D166" s="6">
        <v>45.77</v>
      </c>
      <c r="E166" s="6">
        <v>48.46</v>
      </c>
      <c r="F166" s="6">
        <v>43.97</v>
      </c>
      <c r="G166" s="7">
        <v>754688700</v>
      </c>
      <c r="H166" t="s">
        <v>81</v>
      </c>
      <c r="I166" t="s">
        <v>23</v>
      </c>
    </row>
    <row r="167" spans="1:9" ht="18" x14ac:dyDescent="0.2">
      <c r="A167" s="5">
        <v>44593</v>
      </c>
      <c r="B167" s="6">
        <v>54.72</v>
      </c>
      <c r="C167" s="6">
        <v>60.3</v>
      </c>
      <c r="D167" s="6">
        <v>50.68</v>
      </c>
      <c r="E167" s="6">
        <v>53.37</v>
      </c>
      <c r="F167" s="6">
        <v>48.21</v>
      </c>
      <c r="G167" s="7">
        <v>569263200</v>
      </c>
      <c r="H167" t="s">
        <v>81</v>
      </c>
      <c r="I167" t="s">
        <v>23</v>
      </c>
    </row>
    <row r="168" spans="1:9" ht="18" x14ac:dyDescent="0.2">
      <c r="A168" s="5">
        <v>44562</v>
      </c>
      <c r="B168" s="6">
        <v>48.93</v>
      </c>
      <c r="C168" s="6">
        <v>58.87</v>
      </c>
      <c r="D168" s="6">
        <v>48.92</v>
      </c>
      <c r="E168" s="6">
        <v>53.8</v>
      </c>
      <c r="F168" s="6">
        <v>48.6</v>
      </c>
      <c r="G168" s="7">
        <v>742893200</v>
      </c>
      <c r="H168" t="s">
        <v>81</v>
      </c>
      <c r="I168" t="s">
        <v>23</v>
      </c>
    </row>
    <row r="169" spans="1:9" ht="18" x14ac:dyDescent="0.2">
      <c r="A169" s="5">
        <v>44531</v>
      </c>
      <c r="B169" s="6">
        <v>48.69</v>
      </c>
      <c r="C169" s="6">
        <v>50.82</v>
      </c>
      <c r="D169" s="6">
        <v>46.25</v>
      </c>
      <c r="E169" s="6">
        <v>47.98</v>
      </c>
      <c r="F169" s="6">
        <v>43.34</v>
      </c>
      <c r="G169" s="7">
        <v>518911300</v>
      </c>
      <c r="H169" t="s">
        <v>81</v>
      </c>
      <c r="I169" t="s">
        <v>23</v>
      </c>
    </row>
    <row r="170" spans="1:9" ht="18" x14ac:dyDescent="0.2">
      <c r="A170" s="5">
        <v>44501</v>
      </c>
      <c r="B170" s="6">
        <v>51.56</v>
      </c>
      <c r="C170" s="6">
        <v>52.57</v>
      </c>
      <c r="D170" s="6">
        <v>47.32</v>
      </c>
      <c r="E170" s="6">
        <v>47.78</v>
      </c>
      <c r="F170" s="6">
        <v>43</v>
      </c>
      <c r="G170" s="7">
        <v>501550700</v>
      </c>
      <c r="H170" t="s">
        <v>81</v>
      </c>
      <c r="I170" t="s">
        <v>23</v>
      </c>
    </row>
    <row r="171" spans="1:9" ht="18" x14ac:dyDescent="0.2">
      <c r="A171" s="5">
        <v>44470</v>
      </c>
      <c r="B171" s="6">
        <v>46.55</v>
      </c>
      <c r="C171" s="6">
        <v>51.64</v>
      </c>
      <c r="D171" s="6">
        <v>44.83</v>
      </c>
      <c r="E171" s="6">
        <v>51.16</v>
      </c>
      <c r="F171" s="6">
        <v>46.04</v>
      </c>
      <c r="G171" s="7">
        <v>516094300</v>
      </c>
      <c r="H171" t="s">
        <v>81</v>
      </c>
      <c r="I171" t="s">
        <v>23</v>
      </c>
    </row>
    <row r="172" spans="1:9" ht="18" x14ac:dyDescent="0.2">
      <c r="A172" s="5">
        <v>44440</v>
      </c>
      <c r="B172" s="6">
        <v>45.7</v>
      </c>
      <c r="C172" s="6">
        <v>48.94</v>
      </c>
      <c r="D172" s="6">
        <v>43.27</v>
      </c>
      <c r="E172" s="6">
        <v>46.41</v>
      </c>
      <c r="F172" s="6">
        <v>41.76</v>
      </c>
      <c r="G172" s="7">
        <v>651312400</v>
      </c>
      <c r="H172" t="s">
        <v>81</v>
      </c>
      <c r="I172" t="s">
        <v>23</v>
      </c>
    </row>
    <row r="173" spans="1:9" ht="18" x14ac:dyDescent="0.2">
      <c r="A173" s="5">
        <v>44409</v>
      </c>
      <c r="B173" s="6">
        <v>46.04</v>
      </c>
      <c r="C173" s="6">
        <v>51.41</v>
      </c>
      <c r="D173" s="6">
        <v>45.11</v>
      </c>
      <c r="E173" s="6">
        <v>45.7</v>
      </c>
      <c r="F173" s="6">
        <v>40.950000000000003</v>
      </c>
      <c r="G173" s="7">
        <v>528672200</v>
      </c>
      <c r="H173" t="s">
        <v>81</v>
      </c>
      <c r="I173" t="s">
        <v>23</v>
      </c>
    </row>
    <row r="174" spans="1:9" ht="18" x14ac:dyDescent="0.2">
      <c r="A174" s="5">
        <v>44378</v>
      </c>
      <c r="B174" s="6">
        <v>45.48</v>
      </c>
      <c r="C174" s="6">
        <v>46.85</v>
      </c>
      <c r="D174" s="6">
        <v>41.97</v>
      </c>
      <c r="E174" s="6">
        <v>45.94</v>
      </c>
      <c r="F174" s="6">
        <v>41.16</v>
      </c>
      <c r="G174" s="7">
        <v>560767400</v>
      </c>
      <c r="H174" t="s">
        <v>81</v>
      </c>
      <c r="I174" t="s">
        <v>23</v>
      </c>
    </row>
    <row r="175" spans="1:9" ht="18" x14ac:dyDescent="0.2">
      <c r="A175" s="5">
        <v>44348</v>
      </c>
      <c r="B175" s="6">
        <v>47.16</v>
      </c>
      <c r="C175" s="6">
        <v>47.46</v>
      </c>
      <c r="D175" s="6">
        <v>41.47</v>
      </c>
      <c r="E175" s="6">
        <v>45.29</v>
      </c>
      <c r="F175" s="6">
        <v>40.58</v>
      </c>
      <c r="G175" s="7">
        <v>607672400</v>
      </c>
      <c r="H175" t="s">
        <v>81</v>
      </c>
      <c r="I175" t="s">
        <v>23</v>
      </c>
    </row>
    <row r="176" spans="1:9" ht="18" x14ac:dyDescent="0.2">
      <c r="A176" s="5">
        <v>44317</v>
      </c>
      <c r="B176" s="6">
        <v>45.45</v>
      </c>
      <c r="C176" s="6">
        <v>48.13</v>
      </c>
      <c r="D176" s="6">
        <v>44.67</v>
      </c>
      <c r="E176" s="6">
        <v>46.72</v>
      </c>
      <c r="F176" s="6">
        <v>41.77</v>
      </c>
      <c r="G176" s="7">
        <v>526684700</v>
      </c>
      <c r="H176" t="s">
        <v>81</v>
      </c>
      <c r="I176" t="s">
        <v>23</v>
      </c>
    </row>
    <row r="177" spans="1:9" ht="18" x14ac:dyDescent="0.2">
      <c r="A177" s="5">
        <v>44287</v>
      </c>
      <c r="B177" s="6">
        <v>38.96</v>
      </c>
      <c r="C177" s="6">
        <v>46.39</v>
      </c>
      <c r="D177" s="6">
        <v>38.92</v>
      </c>
      <c r="E177" s="6">
        <v>45.05</v>
      </c>
      <c r="F177" s="6">
        <v>40.28</v>
      </c>
      <c r="G177" s="7">
        <v>634499100</v>
      </c>
      <c r="H177" t="s">
        <v>81</v>
      </c>
      <c r="I177" t="s">
        <v>23</v>
      </c>
    </row>
    <row r="178" spans="1:9" ht="18" x14ac:dyDescent="0.2">
      <c r="A178" s="5">
        <v>44256</v>
      </c>
      <c r="B178" s="6">
        <v>37.11</v>
      </c>
      <c r="C178" s="6">
        <v>41.54</v>
      </c>
      <c r="D178" s="6">
        <v>36.340000000000003</v>
      </c>
      <c r="E178" s="6">
        <v>39.07</v>
      </c>
      <c r="F178" s="6">
        <v>34.93</v>
      </c>
      <c r="G178" s="7">
        <v>781557400</v>
      </c>
      <c r="H178" t="s">
        <v>81</v>
      </c>
      <c r="I178" t="s">
        <v>23</v>
      </c>
    </row>
    <row r="179" spans="1:9" ht="18" x14ac:dyDescent="0.2">
      <c r="A179" s="5">
        <v>44228</v>
      </c>
      <c r="B179" s="6">
        <v>30.14</v>
      </c>
      <c r="C179" s="6">
        <v>38.68</v>
      </c>
      <c r="D179" s="6">
        <v>29.68</v>
      </c>
      <c r="E179" s="6">
        <v>36.17</v>
      </c>
      <c r="F179" s="6">
        <v>32.24</v>
      </c>
      <c r="G179" s="7">
        <v>655506000</v>
      </c>
      <c r="H179" t="s">
        <v>81</v>
      </c>
      <c r="I179" t="s">
        <v>23</v>
      </c>
    </row>
    <row r="180" spans="1:9" ht="18" x14ac:dyDescent="0.2">
      <c r="A180" s="5">
        <v>44197</v>
      </c>
      <c r="B180" s="6">
        <v>30.32</v>
      </c>
      <c r="C180" s="6">
        <v>35.1</v>
      </c>
      <c r="D180" s="6">
        <v>29.4</v>
      </c>
      <c r="E180" s="6">
        <v>29.88</v>
      </c>
      <c r="F180" s="6">
        <v>26.63</v>
      </c>
      <c r="G180" s="7">
        <v>798079600</v>
      </c>
      <c r="H180" t="s">
        <v>81</v>
      </c>
      <c r="I180" t="s">
        <v>23</v>
      </c>
    </row>
    <row r="181" spans="1:9" ht="18" x14ac:dyDescent="0.2">
      <c r="A181" s="5">
        <v>44166</v>
      </c>
      <c r="B181" s="6">
        <v>28.15</v>
      </c>
      <c r="C181" s="6">
        <v>30.49</v>
      </c>
      <c r="D181" s="6">
        <v>27.85</v>
      </c>
      <c r="E181" s="6">
        <v>30.18</v>
      </c>
      <c r="F181" s="6">
        <v>26.9</v>
      </c>
      <c r="G181" s="7">
        <v>737667600</v>
      </c>
      <c r="H181" t="s">
        <v>81</v>
      </c>
      <c r="I181" t="s">
        <v>23</v>
      </c>
    </row>
    <row r="182" spans="1:9" ht="18" x14ac:dyDescent="0.2">
      <c r="A182" s="5">
        <v>45962</v>
      </c>
      <c r="B182" s="6">
        <v>41.43</v>
      </c>
      <c r="C182" s="6">
        <v>42.93</v>
      </c>
      <c r="D182" s="6">
        <v>40.950000000000003</v>
      </c>
      <c r="E182" s="6">
        <v>42.87</v>
      </c>
      <c r="F182" s="6">
        <v>42.87</v>
      </c>
      <c r="G182" s="7">
        <v>45482400</v>
      </c>
      <c r="H182" t="s">
        <v>82</v>
      </c>
      <c r="I182" t="s">
        <v>14</v>
      </c>
    </row>
    <row r="183" spans="1:9" ht="18" x14ac:dyDescent="0.2">
      <c r="A183" s="5">
        <v>45931</v>
      </c>
      <c r="B183" s="6">
        <v>44.37</v>
      </c>
      <c r="C183" s="6">
        <v>45.33</v>
      </c>
      <c r="D183" s="6">
        <v>40.049999999999997</v>
      </c>
      <c r="E183" s="6">
        <v>41.62</v>
      </c>
      <c r="F183" s="6">
        <v>41.62</v>
      </c>
      <c r="G183" s="7">
        <v>228214400</v>
      </c>
      <c r="H183" t="s">
        <v>82</v>
      </c>
      <c r="I183" t="s">
        <v>14</v>
      </c>
    </row>
    <row r="184" spans="1:9" ht="18" x14ac:dyDescent="0.2">
      <c r="A184" s="5">
        <v>45901</v>
      </c>
      <c r="B184" s="6">
        <v>45.18</v>
      </c>
      <c r="C184" s="6">
        <v>46.6</v>
      </c>
      <c r="D184" s="6">
        <v>43.76</v>
      </c>
      <c r="E184" s="6">
        <v>44.55</v>
      </c>
      <c r="F184" s="6">
        <v>44.16</v>
      </c>
      <c r="G184" s="7">
        <v>94544800</v>
      </c>
      <c r="H184" t="s">
        <v>82</v>
      </c>
      <c r="I184" t="s">
        <v>14</v>
      </c>
    </row>
    <row r="185" spans="1:9" ht="18" x14ac:dyDescent="0.2">
      <c r="A185" s="5">
        <v>45870</v>
      </c>
      <c r="B185" s="6">
        <v>40.98</v>
      </c>
      <c r="C185" s="6">
        <v>45.93</v>
      </c>
      <c r="D185" s="6">
        <v>40.22</v>
      </c>
      <c r="E185" s="6">
        <v>45.77</v>
      </c>
      <c r="F185" s="6">
        <v>45.37</v>
      </c>
      <c r="G185" s="7">
        <v>74650200</v>
      </c>
      <c r="H185" t="s">
        <v>82</v>
      </c>
      <c r="I185" t="s">
        <v>14</v>
      </c>
    </row>
    <row r="186" spans="1:9" ht="18" x14ac:dyDescent="0.2">
      <c r="A186" s="5">
        <v>45839</v>
      </c>
      <c r="B186" s="6">
        <v>40.799999999999997</v>
      </c>
      <c r="C186" s="6">
        <v>44.34</v>
      </c>
      <c r="D186" s="6">
        <v>40.630000000000003</v>
      </c>
      <c r="E186" s="6">
        <v>41.57</v>
      </c>
      <c r="F186" s="6">
        <v>41.2</v>
      </c>
      <c r="G186" s="7">
        <v>133485600</v>
      </c>
      <c r="H186" t="s">
        <v>82</v>
      </c>
      <c r="I186" t="s">
        <v>14</v>
      </c>
    </row>
    <row r="187" spans="1:9" ht="18" x14ac:dyDescent="0.2">
      <c r="A187" s="5">
        <v>45809</v>
      </c>
      <c r="B187" s="6">
        <v>38</v>
      </c>
      <c r="C187" s="6">
        <v>41.61</v>
      </c>
      <c r="D187" s="6">
        <v>37.28</v>
      </c>
      <c r="E187" s="6">
        <v>41.13</v>
      </c>
      <c r="F187" s="6">
        <v>40.4</v>
      </c>
      <c r="G187" s="7">
        <v>105427600</v>
      </c>
      <c r="H187" t="s">
        <v>82</v>
      </c>
      <c r="I187" t="s">
        <v>14</v>
      </c>
    </row>
    <row r="188" spans="1:9" ht="18" x14ac:dyDescent="0.2">
      <c r="A188" s="5">
        <v>45778</v>
      </c>
      <c r="B188" s="6">
        <v>35.85</v>
      </c>
      <c r="C188" s="6">
        <v>39.78</v>
      </c>
      <c r="D188" s="6">
        <v>35.549999999999997</v>
      </c>
      <c r="E188" s="6">
        <v>38.19</v>
      </c>
      <c r="F188" s="6">
        <v>37.520000000000003</v>
      </c>
      <c r="G188" s="7">
        <v>74985000</v>
      </c>
      <c r="H188" t="s">
        <v>82</v>
      </c>
      <c r="I188" t="s">
        <v>14</v>
      </c>
    </row>
    <row r="189" spans="1:9" ht="18" x14ac:dyDescent="0.2">
      <c r="A189" s="5">
        <v>45748</v>
      </c>
      <c r="B189" s="6">
        <v>38.869999999999997</v>
      </c>
      <c r="C189" s="6">
        <v>39.729999999999997</v>
      </c>
      <c r="D189" s="6">
        <v>32.25</v>
      </c>
      <c r="E189" s="6">
        <v>35.94</v>
      </c>
      <c r="F189" s="6">
        <v>35.31</v>
      </c>
      <c r="G189" s="7">
        <v>128608600</v>
      </c>
      <c r="H189" t="s">
        <v>82</v>
      </c>
      <c r="I189" t="s">
        <v>14</v>
      </c>
    </row>
    <row r="190" spans="1:9" ht="18" x14ac:dyDescent="0.2">
      <c r="A190" s="5">
        <v>45717</v>
      </c>
      <c r="B190" s="6">
        <v>43.7</v>
      </c>
      <c r="C190" s="6">
        <v>44.31</v>
      </c>
      <c r="D190" s="6">
        <v>37.450000000000003</v>
      </c>
      <c r="E190" s="6">
        <v>39.200000000000003</v>
      </c>
      <c r="F190" s="6">
        <v>38.14</v>
      </c>
      <c r="G190" s="7">
        <v>114104100</v>
      </c>
      <c r="H190" t="s">
        <v>82</v>
      </c>
      <c r="I190" t="s">
        <v>14</v>
      </c>
    </row>
    <row r="191" spans="1:9" ht="18" x14ac:dyDescent="0.2">
      <c r="A191" s="5">
        <v>45689</v>
      </c>
      <c r="B191" s="6">
        <v>43.48</v>
      </c>
      <c r="C191" s="6">
        <v>44.52</v>
      </c>
      <c r="D191" s="6">
        <v>42.67</v>
      </c>
      <c r="E191" s="6">
        <v>43.47</v>
      </c>
      <c r="F191" s="6">
        <v>42.3</v>
      </c>
      <c r="G191" s="7">
        <v>74041900</v>
      </c>
      <c r="H191" t="s">
        <v>82</v>
      </c>
      <c r="I191" t="s">
        <v>14</v>
      </c>
    </row>
    <row r="192" spans="1:9" ht="18" x14ac:dyDescent="0.2">
      <c r="A192" s="5">
        <v>45658</v>
      </c>
      <c r="B192" s="6">
        <v>42.57</v>
      </c>
      <c r="C192" s="6">
        <v>45.42</v>
      </c>
      <c r="D192" s="6">
        <v>40.92</v>
      </c>
      <c r="E192" s="6">
        <v>44.31</v>
      </c>
      <c r="F192" s="6">
        <v>43.11</v>
      </c>
      <c r="G192" s="7">
        <v>102678500</v>
      </c>
      <c r="H192" t="s">
        <v>82</v>
      </c>
      <c r="I192" t="s">
        <v>14</v>
      </c>
    </row>
    <row r="193" spans="1:9" ht="18" x14ac:dyDescent="0.2">
      <c r="A193" s="5">
        <v>45627</v>
      </c>
      <c r="B193" s="6">
        <v>47.99</v>
      </c>
      <c r="C193" s="6">
        <v>48.19</v>
      </c>
      <c r="D193" s="6">
        <v>41.92</v>
      </c>
      <c r="E193" s="6">
        <v>42.28</v>
      </c>
      <c r="F193" s="6">
        <v>40.78</v>
      </c>
      <c r="G193" s="7">
        <v>90373200</v>
      </c>
      <c r="H193" t="s">
        <v>82</v>
      </c>
      <c r="I193" t="s">
        <v>14</v>
      </c>
    </row>
    <row r="194" spans="1:9" ht="18" x14ac:dyDescent="0.2">
      <c r="A194" s="5">
        <v>45597</v>
      </c>
      <c r="B194" s="6">
        <v>43.66</v>
      </c>
      <c r="C194" s="6">
        <v>49.07</v>
      </c>
      <c r="D194" s="6">
        <v>42.6</v>
      </c>
      <c r="E194" s="6">
        <v>48.06</v>
      </c>
      <c r="F194" s="6">
        <v>46.36</v>
      </c>
      <c r="G194" s="7">
        <v>82437500</v>
      </c>
      <c r="H194" t="s">
        <v>82</v>
      </c>
      <c r="I194" t="s">
        <v>14</v>
      </c>
    </row>
    <row r="195" spans="1:9" ht="18" x14ac:dyDescent="0.2">
      <c r="A195" s="5">
        <v>45566</v>
      </c>
      <c r="B195" s="6">
        <v>42.75</v>
      </c>
      <c r="C195" s="6">
        <v>45.71</v>
      </c>
      <c r="D195" s="6">
        <v>41.38</v>
      </c>
      <c r="E195" s="6">
        <v>43.68</v>
      </c>
      <c r="F195" s="6">
        <v>42.13</v>
      </c>
      <c r="G195" s="7">
        <v>99187800</v>
      </c>
      <c r="H195" t="s">
        <v>82</v>
      </c>
      <c r="I195" t="s">
        <v>14</v>
      </c>
    </row>
    <row r="196" spans="1:9" ht="18" x14ac:dyDescent="0.2">
      <c r="A196" s="5">
        <v>45536</v>
      </c>
      <c r="B196" s="6">
        <v>42.51</v>
      </c>
      <c r="C196" s="6">
        <v>43.85</v>
      </c>
      <c r="D196" s="6">
        <v>39.56</v>
      </c>
      <c r="E196" s="6">
        <v>42.84</v>
      </c>
      <c r="F196" s="6">
        <v>40.97</v>
      </c>
      <c r="G196" s="7">
        <v>80894600</v>
      </c>
      <c r="H196" t="s">
        <v>82</v>
      </c>
      <c r="I196" t="s">
        <v>14</v>
      </c>
    </row>
    <row r="197" spans="1:9" ht="18" x14ac:dyDescent="0.2">
      <c r="A197" s="5">
        <v>45505</v>
      </c>
      <c r="B197" s="6">
        <v>42.28</v>
      </c>
      <c r="C197" s="6">
        <v>42.75</v>
      </c>
      <c r="D197" s="6">
        <v>37.67</v>
      </c>
      <c r="E197" s="6">
        <v>42.69</v>
      </c>
      <c r="F197" s="6">
        <v>40.82</v>
      </c>
      <c r="G197" s="7">
        <v>82538300</v>
      </c>
      <c r="H197" t="s">
        <v>82</v>
      </c>
      <c r="I197" t="s">
        <v>14</v>
      </c>
    </row>
    <row r="198" spans="1:9" ht="18" x14ac:dyDescent="0.2">
      <c r="A198" s="5">
        <v>45474</v>
      </c>
      <c r="B198" s="6">
        <v>36.49</v>
      </c>
      <c r="C198" s="6">
        <v>42.91</v>
      </c>
      <c r="D198" s="6">
        <v>35.17</v>
      </c>
      <c r="E198" s="6">
        <v>42.34</v>
      </c>
      <c r="F198" s="6">
        <v>40.49</v>
      </c>
      <c r="G198" s="7">
        <v>106460300</v>
      </c>
      <c r="H198" t="s">
        <v>82</v>
      </c>
      <c r="I198" t="s">
        <v>14</v>
      </c>
    </row>
    <row r="199" spans="1:9" ht="18" x14ac:dyDescent="0.2">
      <c r="A199" s="5">
        <v>45444</v>
      </c>
      <c r="B199" s="6">
        <v>37.79</v>
      </c>
      <c r="C199" s="6">
        <v>37.79</v>
      </c>
      <c r="D199" s="6">
        <v>34.78</v>
      </c>
      <c r="E199" s="6">
        <v>36.49</v>
      </c>
      <c r="F199" s="6">
        <v>34.549999999999997</v>
      </c>
      <c r="G199" s="7">
        <v>85123800</v>
      </c>
      <c r="H199" t="s">
        <v>82</v>
      </c>
      <c r="I199" t="s">
        <v>14</v>
      </c>
    </row>
    <row r="200" spans="1:9" ht="18" x14ac:dyDescent="0.2">
      <c r="A200" s="5">
        <v>45413</v>
      </c>
      <c r="B200" s="6">
        <v>36.83</v>
      </c>
      <c r="C200" s="6">
        <v>39.14</v>
      </c>
      <c r="D200" s="6">
        <v>35.65</v>
      </c>
      <c r="E200" s="6">
        <v>37.42</v>
      </c>
      <c r="F200" s="6">
        <v>35.43</v>
      </c>
      <c r="G200" s="7">
        <v>74779600</v>
      </c>
      <c r="H200" t="s">
        <v>82</v>
      </c>
      <c r="I200" t="s">
        <v>14</v>
      </c>
    </row>
    <row r="201" spans="1:9" ht="18" x14ac:dyDescent="0.2">
      <c r="A201" s="5">
        <v>45383</v>
      </c>
      <c r="B201" s="6">
        <v>36.97</v>
      </c>
      <c r="C201" s="6">
        <v>37.28</v>
      </c>
      <c r="D201" s="6">
        <v>33.82</v>
      </c>
      <c r="E201" s="6">
        <v>36.46</v>
      </c>
      <c r="F201" s="6">
        <v>34.520000000000003</v>
      </c>
      <c r="G201" s="7">
        <v>100573700</v>
      </c>
      <c r="H201" t="s">
        <v>82</v>
      </c>
      <c r="I201" t="s">
        <v>14</v>
      </c>
    </row>
    <row r="202" spans="1:9" ht="18" x14ac:dyDescent="0.2">
      <c r="A202" s="5">
        <v>45352</v>
      </c>
      <c r="B202" s="6">
        <v>34.08</v>
      </c>
      <c r="C202" s="6">
        <v>37.409999999999997</v>
      </c>
      <c r="D202" s="6">
        <v>33.479999999999997</v>
      </c>
      <c r="E202" s="6">
        <v>37.21</v>
      </c>
      <c r="F202" s="6">
        <v>34.89</v>
      </c>
      <c r="G202" s="7">
        <v>120656000</v>
      </c>
      <c r="H202" t="s">
        <v>82</v>
      </c>
      <c r="I202" t="s">
        <v>14</v>
      </c>
    </row>
    <row r="203" spans="1:9" ht="18" x14ac:dyDescent="0.2">
      <c r="A203" s="5">
        <v>45323</v>
      </c>
      <c r="B203" s="6">
        <v>34.299999999999997</v>
      </c>
      <c r="C203" s="6">
        <v>34.58</v>
      </c>
      <c r="D203" s="6">
        <v>32.29</v>
      </c>
      <c r="E203" s="6">
        <v>34.340000000000003</v>
      </c>
      <c r="F203" s="6">
        <v>32.200000000000003</v>
      </c>
      <c r="G203" s="7">
        <v>97873500</v>
      </c>
      <c r="H203" t="s">
        <v>82</v>
      </c>
      <c r="I203" t="s">
        <v>14</v>
      </c>
    </row>
    <row r="204" spans="1:9" ht="18" x14ac:dyDescent="0.2">
      <c r="A204" s="5">
        <v>45292</v>
      </c>
      <c r="B204" s="6">
        <v>34.299999999999997</v>
      </c>
      <c r="C204" s="6">
        <v>35.729999999999997</v>
      </c>
      <c r="D204" s="6">
        <v>32.840000000000003</v>
      </c>
      <c r="E204" s="6">
        <v>34.24</v>
      </c>
      <c r="F204" s="6">
        <v>32.11</v>
      </c>
      <c r="G204" s="7">
        <v>125164200</v>
      </c>
      <c r="H204" t="s">
        <v>82</v>
      </c>
      <c r="I204" t="s">
        <v>14</v>
      </c>
    </row>
    <row r="205" spans="1:9" ht="18" x14ac:dyDescent="0.2">
      <c r="A205" s="5">
        <v>45261</v>
      </c>
      <c r="B205" s="6">
        <v>28.95</v>
      </c>
      <c r="C205" s="6">
        <v>35.6</v>
      </c>
      <c r="D205" s="6">
        <v>28.77</v>
      </c>
      <c r="E205" s="6">
        <v>34.49</v>
      </c>
      <c r="F205" s="6">
        <v>32.020000000000003</v>
      </c>
      <c r="G205" s="7">
        <v>128030400</v>
      </c>
      <c r="H205" t="s">
        <v>82</v>
      </c>
      <c r="I205" t="s">
        <v>14</v>
      </c>
    </row>
    <row r="206" spans="1:9" ht="18" x14ac:dyDescent="0.2">
      <c r="A206" s="5">
        <v>45231</v>
      </c>
      <c r="B206" s="6">
        <v>23.65</v>
      </c>
      <c r="C206" s="6">
        <v>29.16</v>
      </c>
      <c r="D206" s="6">
        <v>23.37</v>
      </c>
      <c r="E206" s="6">
        <v>28.95</v>
      </c>
      <c r="F206" s="6">
        <v>26.88</v>
      </c>
      <c r="G206" s="7">
        <v>96451200</v>
      </c>
      <c r="H206" t="s">
        <v>82</v>
      </c>
      <c r="I206" t="s">
        <v>14</v>
      </c>
    </row>
    <row r="207" spans="1:9" ht="18" x14ac:dyDescent="0.2">
      <c r="A207" s="5">
        <v>45200</v>
      </c>
      <c r="B207" s="6">
        <v>25.36</v>
      </c>
      <c r="C207" s="6">
        <v>25.59</v>
      </c>
      <c r="D207" s="6">
        <v>22.49</v>
      </c>
      <c r="E207" s="6">
        <v>23.71</v>
      </c>
      <c r="F207" s="6">
        <v>22.01</v>
      </c>
      <c r="G207" s="7">
        <v>119364200</v>
      </c>
      <c r="H207" t="s">
        <v>82</v>
      </c>
      <c r="I207" t="s">
        <v>14</v>
      </c>
    </row>
    <row r="208" spans="1:9" ht="18" x14ac:dyDescent="0.2">
      <c r="A208" s="5">
        <v>45170</v>
      </c>
      <c r="B208" s="6">
        <v>26.77</v>
      </c>
      <c r="C208" s="6">
        <v>28.39</v>
      </c>
      <c r="D208" s="6">
        <v>24.52</v>
      </c>
      <c r="E208" s="6">
        <v>25.33</v>
      </c>
      <c r="F208" s="6">
        <v>23.18</v>
      </c>
      <c r="G208" s="7">
        <v>115119700</v>
      </c>
      <c r="H208" t="s">
        <v>82</v>
      </c>
      <c r="I208" t="s">
        <v>14</v>
      </c>
    </row>
    <row r="209" spans="1:9" ht="18" x14ac:dyDescent="0.2">
      <c r="A209" s="5">
        <v>45139</v>
      </c>
      <c r="B209" s="6">
        <v>29.01</v>
      </c>
      <c r="C209" s="6">
        <v>29.13</v>
      </c>
      <c r="D209" s="6">
        <v>24.69</v>
      </c>
      <c r="E209" s="6">
        <v>26.55</v>
      </c>
      <c r="F209" s="6">
        <v>24.3</v>
      </c>
      <c r="G209" s="7">
        <v>102625700</v>
      </c>
      <c r="H209" t="s">
        <v>82</v>
      </c>
      <c r="I209" t="s">
        <v>14</v>
      </c>
    </row>
    <row r="210" spans="1:9" ht="18" x14ac:dyDescent="0.2">
      <c r="A210" s="5">
        <v>45108</v>
      </c>
      <c r="B210" s="6">
        <v>26.39</v>
      </c>
      <c r="C210" s="6">
        <v>29.45</v>
      </c>
      <c r="D210" s="6">
        <v>25.57</v>
      </c>
      <c r="E210" s="6">
        <v>29.1</v>
      </c>
      <c r="F210" s="6">
        <v>26.63</v>
      </c>
      <c r="G210" s="7">
        <v>104739400</v>
      </c>
      <c r="H210" t="s">
        <v>82</v>
      </c>
      <c r="I210" t="s">
        <v>14</v>
      </c>
    </row>
    <row r="211" spans="1:9" ht="18" x14ac:dyDescent="0.2">
      <c r="A211" s="5">
        <v>45078</v>
      </c>
      <c r="B211" s="6">
        <v>24.46</v>
      </c>
      <c r="C211" s="6">
        <v>27.27</v>
      </c>
      <c r="D211" s="6">
        <v>24.02</v>
      </c>
      <c r="E211" s="6">
        <v>26.21</v>
      </c>
      <c r="F211" s="6">
        <v>23.69</v>
      </c>
      <c r="G211" s="7">
        <v>123316100</v>
      </c>
      <c r="H211" t="s">
        <v>82</v>
      </c>
      <c r="I211" t="s">
        <v>14</v>
      </c>
    </row>
    <row r="212" spans="1:9" ht="18" x14ac:dyDescent="0.2">
      <c r="A212" s="5">
        <v>45047</v>
      </c>
      <c r="B212" s="6">
        <v>26.15</v>
      </c>
      <c r="C212" s="6">
        <v>26.47</v>
      </c>
      <c r="D212" s="6">
        <v>22.46</v>
      </c>
      <c r="E212" s="6">
        <v>24.27</v>
      </c>
      <c r="F212" s="6">
        <v>21.94</v>
      </c>
      <c r="G212" s="7">
        <v>181730700</v>
      </c>
      <c r="H212" t="s">
        <v>82</v>
      </c>
      <c r="I212" t="s">
        <v>14</v>
      </c>
    </row>
    <row r="213" spans="1:9" ht="18" x14ac:dyDescent="0.2">
      <c r="A213" s="5">
        <v>45017</v>
      </c>
      <c r="B213" s="6">
        <v>26.94</v>
      </c>
      <c r="C213" s="6">
        <v>28.18</v>
      </c>
      <c r="D213" s="6">
        <v>24.98</v>
      </c>
      <c r="E213" s="6">
        <v>26.2</v>
      </c>
      <c r="F213" s="6">
        <v>23.68</v>
      </c>
      <c r="G213" s="7">
        <v>136959200</v>
      </c>
      <c r="H213" t="s">
        <v>82</v>
      </c>
      <c r="I213" t="s">
        <v>14</v>
      </c>
    </row>
    <row r="214" spans="1:9" ht="18" x14ac:dyDescent="0.2">
      <c r="A214" s="5">
        <v>44986</v>
      </c>
      <c r="B214" s="6">
        <v>36.200000000000003</v>
      </c>
      <c r="C214" s="6">
        <v>36.67</v>
      </c>
      <c r="D214" s="6">
        <v>22.11</v>
      </c>
      <c r="E214" s="6">
        <v>26.64</v>
      </c>
      <c r="F214" s="6">
        <v>23.78</v>
      </c>
      <c r="G214" s="7">
        <v>356280200</v>
      </c>
      <c r="H214" t="s">
        <v>82</v>
      </c>
      <c r="I214" t="s">
        <v>14</v>
      </c>
    </row>
    <row r="215" spans="1:9" ht="18" x14ac:dyDescent="0.2">
      <c r="A215" s="5">
        <v>44958</v>
      </c>
      <c r="B215" s="6">
        <v>35.799999999999997</v>
      </c>
      <c r="C215" s="6">
        <v>38.06</v>
      </c>
      <c r="D215" s="6">
        <v>35.51</v>
      </c>
      <c r="E215" s="6">
        <v>36.299999999999997</v>
      </c>
      <c r="F215" s="6">
        <v>32.409999999999997</v>
      </c>
      <c r="G215" s="7">
        <v>80812700</v>
      </c>
      <c r="H215" t="s">
        <v>82</v>
      </c>
      <c r="I215" t="s">
        <v>14</v>
      </c>
    </row>
    <row r="216" spans="1:9" ht="18" x14ac:dyDescent="0.2">
      <c r="A216" s="5">
        <v>44927</v>
      </c>
      <c r="B216" s="6">
        <v>33.19</v>
      </c>
      <c r="C216" s="6">
        <v>36.32</v>
      </c>
      <c r="D216" s="6">
        <v>31.84</v>
      </c>
      <c r="E216" s="6">
        <v>36.29</v>
      </c>
      <c r="F216" s="6">
        <v>32.4</v>
      </c>
      <c r="G216" s="7">
        <v>116715500</v>
      </c>
      <c r="H216" t="s">
        <v>82</v>
      </c>
      <c r="I216" t="s">
        <v>14</v>
      </c>
    </row>
    <row r="217" spans="1:9" ht="18" x14ac:dyDescent="0.2">
      <c r="A217" s="5">
        <v>44896</v>
      </c>
      <c r="B217" s="6">
        <v>36.36</v>
      </c>
      <c r="C217" s="6">
        <v>36.520000000000003</v>
      </c>
      <c r="D217" s="6">
        <v>31.27</v>
      </c>
      <c r="E217" s="6">
        <v>32.81</v>
      </c>
      <c r="F217" s="6">
        <v>29</v>
      </c>
      <c r="G217" s="7">
        <v>105090900</v>
      </c>
      <c r="H217" t="s">
        <v>82</v>
      </c>
      <c r="I217" t="s">
        <v>14</v>
      </c>
    </row>
    <row r="218" spans="1:9" ht="18" x14ac:dyDescent="0.2">
      <c r="A218" s="5">
        <v>44866</v>
      </c>
      <c r="B218" s="6">
        <v>35.93</v>
      </c>
      <c r="C218" s="6">
        <v>37.200000000000003</v>
      </c>
      <c r="D218" s="6">
        <v>33.450000000000003</v>
      </c>
      <c r="E218" s="6">
        <v>36.36</v>
      </c>
      <c r="F218" s="6">
        <v>32.130000000000003</v>
      </c>
      <c r="G218" s="7">
        <v>85760400</v>
      </c>
      <c r="H218" t="s">
        <v>82</v>
      </c>
      <c r="I218" t="s">
        <v>14</v>
      </c>
    </row>
    <row r="219" spans="1:9" ht="18" x14ac:dyDescent="0.2">
      <c r="A219" s="5">
        <v>44835</v>
      </c>
      <c r="B219" s="6">
        <v>32.5</v>
      </c>
      <c r="C219" s="6">
        <v>36.17</v>
      </c>
      <c r="D219" s="6">
        <v>30.92</v>
      </c>
      <c r="E219" s="6">
        <v>35.69</v>
      </c>
      <c r="F219" s="6">
        <v>31.54</v>
      </c>
      <c r="G219" s="7">
        <v>109278500</v>
      </c>
      <c r="H219" t="s">
        <v>82</v>
      </c>
      <c r="I219" t="s">
        <v>14</v>
      </c>
    </row>
    <row r="220" spans="1:9" ht="18" x14ac:dyDescent="0.2">
      <c r="A220" s="5">
        <v>44805</v>
      </c>
      <c r="B220" s="6">
        <v>34.1</v>
      </c>
      <c r="C220" s="6">
        <v>36.6</v>
      </c>
      <c r="D220" s="6">
        <v>31.18</v>
      </c>
      <c r="E220" s="6">
        <v>31.96</v>
      </c>
      <c r="F220" s="6">
        <v>27.96</v>
      </c>
      <c r="G220" s="7">
        <v>93587000</v>
      </c>
      <c r="H220" t="s">
        <v>82</v>
      </c>
      <c r="I220" t="s">
        <v>14</v>
      </c>
    </row>
    <row r="221" spans="1:9" ht="18" x14ac:dyDescent="0.2">
      <c r="A221" s="5">
        <v>44774</v>
      </c>
      <c r="B221" s="6">
        <v>33.86</v>
      </c>
      <c r="C221" s="6">
        <v>37.86</v>
      </c>
      <c r="D221" s="6">
        <v>33.409999999999997</v>
      </c>
      <c r="E221" s="6">
        <v>34.15</v>
      </c>
      <c r="F221" s="6">
        <v>29.87</v>
      </c>
      <c r="G221" s="7">
        <v>76916300</v>
      </c>
      <c r="H221" t="s">
        <v>82</v>
      </c>
      <c r="I221" t="s">
        <v>14</v>
      </c>
    </row>
    <row r="222" spans="1:9" ht="18" x14ac:dyDescent="0.2">
      <c r="A222" s="5">
        <v>44743</v>
      </c>
      <c r="B222" s="6">
        <v>33.5</v>
      </c>
      <c r="C222" s="6">
        <v>34.97</v>
      </c>
      <c r="D222" s="6">
        <v>31.8</v>
      </c>
      <c r="E222" s="6">
        <v>34.119999999999997</v>
      </c>
      <c r="F222" s="6">
        <v>29.85</v>
      </c>
      <c r="G222" s="7">
        <v>101581000</v>
      </c>
      <c r="H222" t="s">
        <v>82</v>
      </c>
      <c r="I222" t="s">
        <v>14</v>
      </c>
    </row>
    <row r="223" spans="1:9" ht="18" x14ac:dyDescent="0.2">
      <c r="A223" s="5">
        <v>44713</v>
      </c>
      <c r="B223" s="6">
        <v>39.630000000000003</v>
      </c>
      <c r="C223" s="6">
        <v>40.07</v>
      </c>
      <c r="D223" s="6">
        <v>32.549999999999997</v>
      </c>
      <c r="E223" s="6">
        <v>33.6</v>
      </c>
      <c r="F223" s="6">
        <v>29.14</v>
      </c>
      <c r="G223" s="7">
        <v>98111700</v>
      </c>
      <c r="H223" t="s">
        <v>82</v>
      </c>
      <c r="I223" t="s">
        <v>14</v>
      </c>
    </row>
    <row r="224" spans="1:9" ht="18" x14ac:dyDescent="0.2">
      <c r="A224" s="5">
        <v>44682</v>
      </c>
      <c r="B224" s="6">
        <v>37.82</v>
      </c>
      <c r="C224" s="6">
        <v>39.68</v>
      </c>
      <c r="D224" s="6">
        <v>34.75</v>
      </c>
      <c r="E224" s="6">
        <v>39.43</v>
      </c>
      <c r="F224" s="6">
        <v>34.200000000000003</v>
      </c>
      <c r="G224" s="7">
        <v>118522300</v>
      </c>
      <c r="H224" t="s">
        <v>82</v>
      </c>
      <c r="I224" t="s">
        <v>14</v>
      </c>
    </row>
    <row r="225" spans="1:9" ht="18" x14ac:dyDescent="0.2">
      <c r="A225" s="5">
        <v>44652</v>
      </c>
      <c r="B225" s="6">
        <v>43.69</v>
      </c>
      <c r="C225" s="6">
        <v>43.82</v>
      </c>
      <c r="D225" s="6">
        <v>37.44</v>
      </c>
      <c r="E225" s="6">
        <v>37.53</v>
      </c>
      <c r="F225" s="6">
        <v>32.549999999999997</v>
      </c>
      <c r="G225" s="7">
        <v>132543700</v>
      </c>
      <c r="H225" t="s">
        <v>82</v>
      </c>
      <c r="I225" t="s">
        <v>14</v>
      </c>
    </row>
    <row r="226" spans="1:9" ht="18" x14ac:dyDescent="0.2">
      <c r="A226" s="5">
        <v>44621</v>
      </c>
      <c r="B226" s="6">
        <v>47.3</v>
      </c>
      <c r="C226" s="6">
        <v>48.03</v>
      </c>
      <c r="D226" s="6">
        <v>41.55</v>
      </c>
      <c r="E226" s="6">
        <v>43.04</v>
      </c>
      <c r="F226" s="6">
        <v>37.090000000000003</v>
      </c>
      <c r="G226" s="7">
        <v>161085900</v>
      </c>
      <c r="H226" t="s">
        <v>82</v>
      </c>
      <c r="I226" t="s">
        <v>14</v>
      </c>
    </row>
    <row r="227" spans="1:9" ht="18" x14ac:dyDescent="0.2">
      <c r="A227" s="5">
        <v>44593</v>
      </c>
      <c r="B227" s="6">
        <v>44.55</v>
      </c>
      <c r="C227" s="6">
        <v>50.13</v>
      </c>
      <c r="D227" s="6">
        <v>44.08</v>
      </c>
      <c r="E227" s="6">
        <v>47.84</v>
      </c>
      <c r="F227" s="6">
        <v>41.22</v>
      </c>
      <c r="G227" s="7">
        <v>118806000</v>
      </c>
      <c r="H227" t="s">
        <v>82</v>
      </c>
      <c r="I227" t="s">
        <v>14</v>
      </c>
    </row>
    <row r="228" spans="1:9" ht="18" x14ac:dyDescent="0.2">
      <c r="A228" s="5">
        <v>44562</v>
      </c>
      <c r="B228" s="6">
        <v>43.99</v>
      </c>
      <c r="C228" s="6">
        <v>50.64</v>
      </c>
      <c r="D228" s="6">
        <v>43.23</v>
      </c>
      <c r="E228" s="6">
        <v>44.63</v>
      </c>
      <c r="F228" s="6">
        <v>38.46</v>
      </c>
      <c r="G228" s="7">
        <v>126037900</v>
      </c>
      <c r="H228" t="s">
        <v>82</v>
      </c>
      <c r="I228" t="s">
        <v>14</v>
      </c>
    </row>
    <row r="229" spans="1:9" ht="18" x14ac:dyDescent="0.2">
      <c r="A229" s="5">
        <v>44531</v>
      </c>
      <c r="B229" s="6">
        <v>43.25</v>
      </c>
      <c r="C229" s="6">
        <v>44.89</v>
      </c>
      <c r="D229" s="6">
        <v>40.369999999999997</v>
      </c>
      <c r="E229" s="6">
        <v>43.55</v>
      </c>
      <c r="F229" s="6">
        <v>37.270000000000003</v>
      </c>
      <c r="G229" s="7">
        <v>101778400</v>
      </c>
      <c r="H229" t="s">
        <v>82</v>
      </c>
      <c r="I229" t="s">
        <v>14</v>
      </c>
    </row>
    <row r="230" spans="1:9" ht="18" x14ac:dyDescent="0.2">
      <c r="A230" s="5">
        <v>44501</v>
      </c>
      <c r="B230" s="6">
        <v>43.93</v>
      </c>
      <c r="C230" s="6">
        <v>45.27</v>
      </c>
      <c r="D230" s="6">
        <v>41.5</v>
      </c>
      <c r="E230" s="6">
        <v>42.15</v>
      </c>
      <c r="F230" s="6">
        <v>36.07</v>
      </c>
      <c r="G230" s="7">
        <v>85542300</v>
      </c>
      <c r="H230" t="s">
        <v>82</v>
      </c>
      <c r="I230" t="s">
        <v>14</v>
      </c>
    </row>
    <row r="231" spans="1:9" ht="18" x14ac:dyDescent="0.2">
      <c r="A231" s="5">
        <v>44470</v>
      </c>
      <c r="B231" s="6">
        <v>42.62</v>
      </c>
      <c r="C231" s="6">
        <v>45.92</v>
      </c>
      <c r="D231" s="6">
        <v>41.92</v>
      </c>
      <c r="E231" s="6">
        <v>43.53</v>
      </c>
      <c r="F231" s="6">
        <v>37.25</v>
      </c>
      <c r="G231" s="7">
        <v>79505500</v>
      </c>
      <c r="H231" t="s">
        <v>82</v>
      </c>
      <c r="I231" t="s">
        <v>14</v>
      </c>
    </row>
    <row r="232" spans="1:9" ht="18" x14ac:dyDescent="0.2">
      <c r="A232" s="5">
        <v>44440</v>
      </c>
      <c r="B232" s="6">
        <v>39.01</v>
      </c>
      <c r="C232" s="6">
        <v>44.18</v>
      </c>
      <c r="D232" s="6">
        <v>37.86</v>
      </c>
      <c r="E232" s="6">
        <v>42.44</v>
      </c>
      <c r="F232" s="6">
        <v>36.07</v>
      </c>
      <c r="G232" s="7">
        <v>122273500</v>
      </c>
      <c r="H232" t="s">
        <v>82</v>
      </c>
      <c r="I232" t="s">
        <v>14</v>
      </c>
    </row>
    <row r="233" spans="1:9" ht="18" x14ac:dyDescent="0.2">
      <c r="A233" s="5">
        <v>44409</v>
      </c>
      <c r="B233" s="6">
        <v>36.630000000000003</v>
      </c>
      <c r="C233" s="6">
        <v>39.659999999999997</v>
      </c>
      <c r="D233" s="6">
        <v>35.49</v>
      </c>
      <c r="E233" s="6">
        <v>38.86</v>
      </c>
      <c r="F233" s="6">
        <v>33.03</v>
      </c>
      <c r="G233" s="7">
        <v>98377100</v>
      </c>
      <c r="H233" t="s">
        <v>82</v>
      </c>
      <c r="I233" t="s">
        <v>14</v>
      </c>
    </row>
    <row r="234" spans="1:9" ht="18" x14ac:dyDescent="0.2">
      <c r="A234" s="5">
        <v>44378</v>
      </c>
      <c r="B234" s="6">
        <v>38.5</v>
      </c>
      <c r="C234" s="6">
        <v>38.869999999999997</v>
      </c>
      <c r="D234" s="6">
        <v>34.35</v>
      </c>
      <c r="E234" s="6">
        <v>36.29</v>
      </c>
      <c r="F234" s="6">
        <v>30.84</v>
      </c>
      <c r="G234" s="7">
        <v>101521700</v>
      </c>
      <c r="H234" t="s">
        <v>82</v>
      </c>
      <c r="I234" t="s">
        <v>14</v>
      </c>
    </row>
    <row r="235" spans="1:9" ht="18" x14ac:dyDescent="0.2">
      <c r="A235" s="5">
        <v>44348</v>
      </c>
      <c r="B235" s="6">
        <v>42.43</v>
      </c>
      <c r="C235" s="6">
        <v>42.77</v>
      </c>
      <c r="D235" s="6">
        <v>36.700000000000003</v>
      </c>
      <c r="E235" s="6">
        <v>38.229999999999997</v>
      </c>
      <c r="F235" s="6">
        <v>32.26</v>
      </c>
      <c r="G235" s="7">
        <v>107231300</v>
      </c>
      <c r="H235" t="s">
        <v>82</v>
      </c>
      <c r="I235" t="s">
        <v>14</v>
      </c>
    </row>
    <row r="236" spans="1:9" ht="18" x14ac:dyDescent="0.2">
      <c r="A236" s="5">
        <v>44317</v>
      </c>
      <c r="B236" s="6">
        <v>40.99</v>
      </c>
      <c r="C236" s="6">
        <v>43.06</v>
      </c>
      <c r="D236" s="6">
        <v>40.01</v>
      </c>
      <c r="E236" s="6">
        <v>42.14</v>
      </c>
      <c r="F236" s="6">
        <v>35.56</v>
      </c>
      <c r="G236" s="7">
        <v>95703200</v>
      </c>
      <c r="H236" t="s">
        <v>82</v>
      </c>
      <c r="I236" t="s">
        <v>14</v>
      </c>
    </row>
    <row r="237" spans="1:9" ht="18" x14ac:dyDescent="0.2">
      <c r="A237" s="5">
        <v>44287</v>
      </c>
      <c r="B237" s="6">
        <v>37.4</v>
      </c>
      <c r="C237" s="6">
        <v>40.96</v>
      </c>
      <c r="D237" s="6">
        <v>35.880000000000003</v>
      </c>
      <c r="E237" s="6">
        <v>40.54</v>
      </c>
      <c r="F237" s="6">
        <v>34.21</v>
      </c>
      <c r="G237" s="7">
        <v>107603500</v>
      </c>
      <c r="H237" t="s">
        <v>82</v>
      </c>
      <c r="I237" t="s">
        <v>14</v>
      </c>
    </row>
    <row r="238" spans="1:9" ht="18" x14ac:dyDescent="0.2">
      <c r="A238" s="5">
        <v>44256</v>
      </c>
      <c r="B238" s="6">
        <v>35.36</v>
      </c>
      <c r="C238" s="6">
        <v>40.46</v>
      </c>
      <c r="D238" s="6">
        <v>34.53</v>
      </c>
      <c r="E238" s="6">
        <v>37.450000000000003</v>
      </c>
      <c r="F238" s="6">
        <v>31.38</v>
      </c>
      <c r="G238" s="7">
        <v>191621500</v>
      </c>
      <c r="H238" t="s">
        <v>82</v>
      </c>
      <c r="I238" t="s">
        <v>14</v>
      </c>
    </row>
    <row r="239" spans="1:9" ht="18" x14ac:dyDescent="0.2">
      <c r="A239" s="5">
        <v>44228</v>
      </c>
      <c r="B239" s="6">
        <v>29.05</v>
      </c>
      <c r="C239" s="6">
        <v>36.85</v>
      </c>
      <c r="D239" s="6">
        <v>28.94</v>
      </c>
      <c r="E239" s="6">
        <v>34.69</v>
      </c>
      <c r="F239" s="6">
        <v>29.06</v>
      </c>
      <c r="G239" s="7">
        <v>100091100</v>
      </c>
      <c r="H239" t="s">
        <v>82</v>
      </c>
      <c r="I239" t="s">
        <v>14</v>
      </c>
    </row>
    <row r="240" spans="1:9" ht="18" x14ac:dyDescent="0.2">
      <c r="A240" s="5">
        <v>44197</v>
      </c>
      <c r="B240" s="6">
        <v>27.76</v>
      </c>
      <c r="C240" s="6">
        <v>32.82</v>
      </c>
      <c r="D240" s="6">
        <v>26.83</v>
      </c>
      <c r="E240" s="6">
        <v>28.93</v>
      </c>
      <c r="F240" s="6">
        <v>24.24</v>
      </c>
      <c r="G240" s="7">
        <v>100981800</v>
      </c>
      <c r="H240" t="s">
        <v>82</v>
      </c>
      <c r="I240" t="s">
        <v>14</v>
      </c>
    </row>
    <row r="241" spans="1:9" ht="18" x14ac:dyDescent="0.2">
      <c r="A241" s="5">
        <v>44166</v>
      </c>
      <c r="B241" s="6">
        <v>25.9</v>
      </c>
      <c r="C241" s="6">
        <v>28.11</v>
      </c>
      <c r="D241" s="6">
        <v>25.79</v>
      </c>
      <c r="E241" s="6">
        <v>27.57</v>
      </c>
      <c r="F241" s="6">
        <v>22.87</v>
      </c>
      <c r="G241" s="7">
        <v>100328800</v>
      </c>
      <c r="H241" t="s">
        <v>82</v>
      </c>
      <c r="I241" t="s">
        <v>14</v>
      </c>
    </row>
    <row r="242" spans="1:9" ht="18" x14ac:dyDescent="0.2">
      <c r="A242" s="5">
        <v>45962</v>
      </c>
      <c r="B242" s="6">
        <v>75.930000000000007</v>
      </c>
      <c r="C242" s="6">
        <v>79.03</v>
      </c>
      <c r="D242" s="6">
        <v>75.239999999999995</v>
      </c>
      <c r="E242" s="6">
        <v>78.89</v>
      </c>
      <c r="F242" s="6">
        <v>78.89</v>
      </c>
      <c r="G242" s="7">
        <v>6705100</v>
      </c>
      <c r="H242" t="s">
        <v>82</v>
      </c>
      <c r="I242" t="s">
        <v>15</v>
      </c>
    </row>
    <row r="243" spans="1:9" ht="18" x14ac:dyDescent="0.2">
      <c r="A243" s="5">
        <v>45931</v>
      </c>
      <c r="B243" s="6">
        <v>67.989999999999995</v>
      </c>
      <c r="C243" s="6">
        <v>83.22</v>
      </c>
      <c r="D243" s="6">
        <v>67.67</v>
      </c>
      <c r="E243" s="6">
        <v>76.5</v>
      </c>
      <c r="F243" s="6">
        <v>76.5</v>
      </c>
      <c r="G243" s="7">
        <v>86589400</v>
      </c>
      <c r="H243" t="s">
        <v>82</v>
      </c>
      <c r="I243" t="s">
        <v>15</v>
      </c>
    </row>
    <row r="244" spans="1:9" ht="18" x14ac:dyDescent="0.2">
      <c r="A244" s="5">
        <v>45901</v>
      </c>
      <c r="B244" s="6">
        <v>69.540000000000006</v>
      </c>
      <c r="C244" s="6">
        <v>71.27</v>
      </c>
      <c r="D244" s="6">
        <v>66.849999999999994</v>
      </c>
      <c r="E244" s="6">
        <v>68.52</v>
      </c>
      <c r="F244" s="6">
        <v>67.83</v>
      </c>
      <c r="G244" s="7">
        <v>32764600</v>
      </c>
      <c r="H244" t="s">
        <v>82</v>
      </c>
      <c r="I244" t="s">
        <v>15</v>
      </c>
    </row>
    <row r="245" spans="1:9" ht="18" x14ac:dyDescent="0.2">
      <c r="A245" s="5">
        <v>45870</v>
      </c>
      <c r="B245" s="6">
        <v>66.53</v>
      </c>
      <c r="C245" s="6">
        <v>71.72</v>
      </c>
      <c r="D245" s="6">
        <v>64.81</v>
      </c>
      <c r="E245" s="6">
        <v>70.58</v>
      </c>
      <c r="F245" s="6">
        <v>69.87</v>
      </c>
      <c r="G245" s="7">
        <v>35660400</v>
      </c>
      <c r="H245" t="s">
        <v>82</v>
      </c>
      <c r="I245" t="s">
        <v>15</v>
      </c>
    </row>
    <row r="246" spans="1:9" ht="18" x14ac:dyDescent="0.2">
      <c r="A246" s="5">
        <v>45839</v>
      </c>
      <c r="B246" s="6">
        <v>59.44</v>
      </c>
      <c r="C246" s="6">
        <v>70.150000000000006</v>
      </c>
      <c r="D246" s="6">
        <v>59.44</v>
      </c>
      <c r="E246" s="6">
        <v>67.569999999999993</v>
      </c>
      <c r="F246" s="6">
        <v>66.89</v>
      </c>
      <c r="G246" s="7">
        <v>62626400</v>
      </c>
      <c r="H246" t="s">
        <v>82</v>
      </c>
      <c r="I246" t="s">
        <v>15</v>
      </c>
    </row>
    <row r="247" spans="1:9" ht="18" x14ac:dyDescent="0.2">
      <c r="A247" s="5">
        <v>45809</v>
      </c>
      <c r="B247" s="6">
        <v>56.91</v>
      </c>
      <c r="C247" s="6">
        <v>60.03</v>
      </c>
      <c r="D247" s="6">
        <v>54.72</v>
      </c>
      <c r="E247" s="6">
        <v>59.65</v>
      </c>
      <c r="F247" s="6">
        <v>58.32</v>
      </c>
      <c r="G247" s="7">
        <v>26212400</v>
      </c>
      <c r="H247" t="s">
        <v>82</v>
      </c>
      <c r="I247" t="s">
        <v>15</v>
      </c>
    </row>
    <row r="248" spans="1:9" ht="18" x14ac:dyDescent="0.2">
      <c r="A248" s="5">
        <v>45778</v>
      </c>
      <c r="B248" s="6">
        <v>53.93</v>
      </c>
      <c r="C248" s="6">
        <v>59.36</v>
      </c>
      <c r="D248" s="6">
        <v>53.18</v>
      </c>
      <c r="E248" s="6">
        <v>57.09</v>
      </c>
      <c r="F248" s="6">
        <v>55.82</v>
      </c>
      <c r="G248" s="7">
        <v>28323600</v>
      </c>
      <c r="H248" t="s">
        <v>82</v>
      </c>
      <c r="I248" t="s">
        <v>15</v>
      </c>
    </row>
    <row r="249" spans="1:9" ht="18" x14ac:dyDescent="0.2">
      <c r="A249" s="5">
        <v>45748</v>
      </c>
      <c r="B249" s="6">
        <v>58.5</v>
      </c>
      <c r="C249" s="6">
        <v>59.35</v>
      </c>
      <c r="D249" s="6">
        <v>48.12</v>
      </c>
      <c r="E249" s="6">
        <v>53.75</v>
      </c>
      <c r="F249" s="6">
        <v>52.55</v>
      </c>
      <c r="G249" s="7">
        <v>48862400</v>
      </c>
      <c r="H249" t="s">
        <v>82</v>
      </c>
      <c r="I249" t="s">
        <v>15</v>
      </c>
    </row>
    <row r="250" spans="1:9" ht="18" x14ac:dyDescent="0.2">
      <c r="A250" s="5">
        <v>45717</v>
      </c>
      <c r="B250" s="6">
        <v>64.5</v>
      </c>
      <c r="C250" s="6">
        <v>65.349999999999994</v>
      </c>
      <c r="D250" s="6">
        <v>55.41</v>
      </c>
      <c r="E250" s="6">
        <v>59.06</v>
      </c>
      <c r="F250" s="6">
        <v>57.02</v>
      </c>
      <c r="G250" s="7">
        <v>44966800</v>
      </c>
      <c r="H250" t="s">
        <v>82</v>
      </c>
      <c r="I250" t="s">
        <v>15</v>
      </c>
    </row>
    <row r="251" spans="1:9" ht="18" x14ac:dyDescent="0.2">
      <c r="A251" s="5">
        <v>45689</v>
      </c>
      <c r="B251" s="6">
        <v>65.33</v>
      </c>
      <c r="C251" s="6">
        <v>68.94</v>
      </c>
      <c r="D251" s="6">
        <v>62.94</v>
      </c>
      <c r="E251" s="6">
        <v>64.33</v>
      </c>
      <c r="F251" s="6">
        <v>62.11</v>
      </c>
      <c r="G251" s="7">
        <v>37262500</v>
      </c>
      <c r="H251" t="s">
        <v>82</v>
      </c>
      <c r="I251" t="s">
        <v>15</v>
      </c>
    </row>
    <row r="252" spans="1:9" ht="18" x14ac:dyDescent="0.2">
      <c r="A252" s="5">
        <v>45658</v>
      </c>
      <c r="B252" s="6">
        <v>62.24</v>
      </c>
      <c r="C252" s="6">
        <v>68.510000000000005</v>
      </c>
      <c r="D252" s="6">
        <v>59.74</v>
      </c>
      <c r="E252" s="6">
        <v>67.319999999999993</v>
      </c>
      <c r="F252" s="6">
        <v>65</v>
      </c>
      <c r="G252" s="7">
        <v>43137300</v>
      </c>
      <c r="H252" t="s">
        <v>82</v>
      </c>
      <c r="I252" t="s">
        <v>15</v>
      </c>
    </row>
    <row r="253" spans="1:9" ht="18" x14ac:dyDescent="0.2">
      <c r="A253" s="5">
        <v>45627</v>
      </c>
      <c r="B253" s="6">
        <v>72.400000000000006</v>
      </c>
      <c r="C253" s="6">
        <v>72.510000000000005</v>
      </c>
      <c r="D253" s="6">
        <v>59.11</v>
      </c>
      <c r="E253" s="6">
        <v>61.85</v>
      </c>
      <c r="F253" s="6">
        <v>59.08</v>
      </c>
      <c r="G253" s="7">
        <v>63127100</v>
      </c>
      <c r="H253" t="s">
        <v>82</v>
      </c>
      <c r="I253" t="s">
        <v>15</v>
      </c>
    </row>
    <row r="254" spans="1:9" ht="18" x14ac:dyDescent="0.2">
      <c r="A254" s="5">
        <v>45597</v>
      </c>
      <c r="B254" s="6">
        <v>64.069999999999993</v>
      </c>
      <c r="C254" s="6">
        <v>73.45</v>
      </c>
      <c r="D254" s="6">
        <v>62.03</v>
      </c>
      <c r="E254" s="6">
        <v>72.25</v>
      </c>
      <c r="F254" s="6">
        <v>69.010000000000005</v>
      </c>
      <c r="G254" s="7">
        <v>33476400</v>
      </c>
      <c r="H254" t="s">
        <v>82</v>
      </c>
      <c r="I254" t="s">
        <v>15</v>
      </c>
    </row>
    <row r="255" spans="1:9" ht="18" x14ac:dyDescent="0.2">
      <c r="A255" s="5">
        <v>45566</v>
      </c>
      <c r="B255" s="6">
        <v>59.41</v>
      </c>
      <c r="C255" s="6">
        <v>66.06</v>
      </c>
      <c r="D255" s="6">
        <v>57.24</v>
      </c>
      <c r="E255" s="6">
        <v>63.71</v>
      </c>
      <c r="F255" s="6">
        <v>60.86</v>
      </c>
      <c r="G255" s="7">
        <v>44542900</v>
      </c>
      <c r="H255" t="s">
        <v>82</v>
      </c>
      <c r="I255" t="s">
        <v>15</v>
      </c>
    </row>
    <row r="256" spans="1:9" ht="18" x14ac:dyDescent="0.2">
      <c r="A256" s="5">
        <v>45536</v>
      </c>
      <c r="B256" s="6">
        <v>56.71</v>
      </c>
      <c r="C256" s="6">
        <v>61.84</v>
      </c>
      <c r="D256" s="6">
        <v>54.43</v>
      </c>
      <c r="E256" s="6">
        <v>59.91</v>
      </c>
      <c r="F256" s="6">
        <v>56.51</v>
      </c>
      <c r="G256" s="7">
        <v>41768300</v>
      </c>
      <c r="H256" t="s">
        <v>82</v>
      </c>
      <c r="I256" t="s">
        <v>15</v>
      </c>
    </row>
    <row r="257" spans="1:9" ht="18" x14ac:dyDescent="0.2">
      <c r="A257" s="5">
        <v>45505</v>
      </c>
      <c r="B257" s="6">
        <v>54.38</v>
      </c>
      <c r="C257" s="6">
        <v>58.19</v>
      </c>
      <c r="D257" s="6">
        <v>48.33</v>
      </c>
      <c r="E257" s="6">
        <v>57.11</v>
      </c>
      <c r="F257" s="6">
        <v>53.87</v>
      </c>
      <c r="G257" s="7">
        <v>37291900</v>
      </c>
      <c r="H257" t="s">
        <v>82</v>
      </c>
      <c r="I257" t="s">
        <v>15</v>
      </c>
    </row>
    <row r="258" spans="1:9" ht="18" x14ac:dyDescent="0.2">
      <c r="A258" s="5">
        <v>45474</v>
      </c>
      <c r="B258" s="6">
        <v>51.09</v>
      </c>
      <c r="C258" s="6">
        <v>58.5</v>
      </c>
      <c r="D258" s="6">
        <v>48.71</v>
      </c>
      <c r="E258" s="6">
        <v>54.81</v>
      </c>
      <c r="F258" s="6">
        <v>51.7</v>
      </c>
      <c r="G258" s="7">
        <v>52552300</v>
      </c>
      <c r="H258" t="s">
        <v>82</v>
      </c>
      <c r="I258" t="s">
        <v>15</v>
      </c>
    </row>
    <row r="259" spans="1:9" ht="18" x14ac:dyDescent="0.2">
      <c r="A259" s="5">
        <v>45444</v>
      </c>
      <c r="B259" s="6">
        <v>51.47</v>
      </c>
      <c r="C259" s="6">
        <v>51.6</v>
      </c>
      <c r="D259" s="6">
        <v>45.32</v>
      </c>
      <c r="E259" s="6">
        <v>51.04</v>
      </c>
      <c r="F259" s="6">
        <v>47.43</v>
      </c>
      <c r="G259" s="7">
        <v>70805800</v>
      </c>
      <c r="H259" t="s">
        <v>82</v>
      </c>
      <c r="I259" t="s">
        <v>15</v>
      </c>
    </row>
    <row r="260" spans="1:9" ht="18" x14ac:dyDescent="0.2">
      <c r="A260" s="5">
        <v>45413</v>
      </c>
      <c r="B260" s="6">
        <v>50.36</v>
      </c>
      <c r="C260" s="6">
        <v>56.16</v>
      </c>
      <c r="D260" s="6">
        <v>48.57</v>
      </c>
      <c r="E260" s="6">
        <v>51.24</v>
      </c>
      <c r="F260" s="6">
        <v>47.62</v>
      </c>
      <c r="G260" s="7">
        <v>34488300</v>
      </c>
      <c r="H260" t="s">
        <v>82</v>
      </c>
      <c r="I260" t="s">
        <v>15</v>
      </c>
    </row>
    <row r="261" spans="1:9" ht="18" x14ac:dyDescent="0.2">
      <c r="A261" s="5">
        <v>45383</v>
      </c>
      <c r="B261" s="6">
        <v>55.25</v>
      </c>
      <c r="C261" s="6">
        <v>55.25</v>
      </c>
      <c r="D261" s="6">
        <v>49.27</v>
      </c>
      <c r="E261" s="6">
        <v>50.17</v>
      </c>
      <c r="F261" s="6">
        <v>46.63</v>
      </c>
      <c r="G261" s="7">
        <v>37329800</v>
      </c>
      <c r="H261" t="s">
        <v>82</v>
      </c>
      <c r="I261" t="s">
        <v>15</v>
      </c>
    </row>
    <row r="262" spans="1:9" ht="18" x14ac:dyDescent="0.2">
      <c r="A262" s="5">
        <v>45352</v>
      </c>
      <c r="B262" s="6">
        <v>48.7</v>
      </c>
      <c r="C262" s="6">
        <v>55.14</v>
      </c>
      <c r="D262" s="6">
        <v>47.64</v>
      </c>
      <c r="E262" s="6">
        <v>54.99</v>
      </c>
      <c r="F262" s="6">
        <v>50.4</v>
      </c>
      <c r="G262" s="7">
        <v>51565400</v>
      </c>
      <c r="H262" t="s">
        <v>82</v>
      </c>
      <c r="I262" t="s">
        <v>15</v>
      </c>
    </row>
    <row r="263" spans="1:9" ht="18" x14ac:dyDescent="0.2">
      <c r="A263" s="5">
        <v>45323</v>
      </c>
      <c r="B263" s="6">
        <v>52.75</v>
      </c>
      <c r="C263" s="6">
        <v>53.39</v>
      </c>
      <c r="D263" s="6">
        <v>47.81</v>
      </c>
      <c r="E263" s="6">
        <v>49.38</v>
      </c>
      <c r="F263" s="6">
        <v>45.26</v>
      </c>
      <c r="G263" s="7">
        <v>40567800</v>
      </c>
      <c r="H263" t="s">
        <v>82</v>
      </c>
      <c r="I263" t="s">
        <v>15</v>
      </c>
    </row>
    <row r="264" spans="1:9" ht="18" x14ac:dyDescent="0.2">
      <c r="A264" s="5">
        <v>45292</v>
      </c>
      <c r="B264" s="6">
        <v>55.46</v>
      </c>
      <c r="C264" s="6">
        <v>57.07</v>
      </c>
      <c r="D264" s="6">
        <v>51.49</v>
      </c>
      <c r="E264" s="6">
        <v>52.58</v>
      </c>
      <c r="F264" s="6">
        <v>48.19</v>
      </c>
      <c r="G264" s="7">
        <v>43036400</v>
      </c>
      <c r="H264" t="s">
        <v>82</v>
      </c>
      <c r="I264" t="s">
        <v>15</v>
      </c>
    </row>
    <row r="265" spans="1:9" ht="18" x14ac:dyDescent="0.2">
      <c r="A265" s="5">
        <v>45261</v>
      </c>
      <c r="B265" s="6">
        <v>44.83</v>
      </c>
      <c r="C265" s="6">
        <v>57.39</v>
      </c>
      <c r="D265" s="6">
        <v>44.63</v>
      </c>
      <c r="E265" s="6">
        <v>55.81</v>
      </c>
      <c r="F265" s="6">
        <v>50.47</v>
      </c>
      <c r="G265" s="7">
        <v>43775500</v>
      </c>
      <c r="H265" t="s">
        <v>82</v>
      </c>
      <c r="I265" t="s">
        <v>15</v>
      </c>
    </row>
    <row r="266" spans="1:9" ht="18" x14ac:dyDescent="0.2">
      <c r="A266" s="5">
        <v>45231</v>
      </c>
      <c r="B266" s="6">
        <v>39.65</v>
      </c>
      <c r="C266" s="6">
        <v>45.87</v>
      </c>
      <c r="D266" s="6">
        <v>38.76</v>
      </c>
      <c r="E266" s="6">
        <v>45.22</v>
      </c>
      <c r="F266" s="6">
        <v>40.89</v>
      </c>
      <c r="G266" s="7">
        <v>33563600</v>
      </c>
      <c r="H266" t="s">
        <v>82</v>
      </c>
      <c r="I266" t="s">
        <v>15</v>
      </c>
    </row>
    <row r="267" spans="1:9" ht="18" x14ac:dyDescent="0.2">
      <c r="A267" s="5">
        <v>45200</v>
      </c>
      <c r="B267" s="6">
        <v>41</v>
      </c>
      <c r="C267" s="6">
        <v>43.36</v>
      </c>
      <c r="D267" s="6">
        <v>37.4</v>
      </c>
      <c r="E267" s="6">
        <v>39.4</v>
      </c>
      <c r="F267" s="6">
        <v>35.630000000000003</v>
      </c>
      <c r="G267" s="7">
        <v>50479700</v>
      </c>
      <c r="H267" t="s">
        <v>82</v>
      </c>
      <c r="I267" t="s">
        <v>15</v>
      </c>
    </row>
    <row r="268" spans="1:9" ht="18" x14ac:dyDescent="0.2">
      <c r="A268" s="5">
        <v>45170</v>
      </c>
      <c r="B268" s="6">
        <v>48.84</v>
      </c>
      <c r="C268" s="6">
        <v>49.25</v>
      </c>
      <c r="D268" s="6">
        <v>39.340000000000003</v>
      </c>
      <c r="E268" s="6">
        <v>41.55</v>
      </c>
      <c r="F268" s="6">
        <v>36.97</v>
      </c>
      <c r="G268" s="7">
        <v>45158500</v>
      </c>
      <c r="H268" t="s">
        <v>82</v>
      </c>
      <c r="I268" t="s">
        <v>15</v>
      </c>
    </row>
    <row r="269" spans="1:9" ht="18" x14ac:dyDescent="0.2">
      <c r="A269" s="5">
        <v>45139</v>
      </c>
      <c r="B269" s="6">
        <v>53.58</v>
      </c>
      <c r="C269" s="6">
        <v>54.05</v>
      </c>
      <c r="D269" s="6">
        <v>44.6</v>
      </c>
      <c r="E269" s="6">
        <v>48.11</v>
      </c>
      <c r="F269" s="6">
        <v>42.81</v>
      </c>
      <c r="G269" s="7">
        <v>35546600</v>
      </c>
      <c r="H269" t="s">
        <v>82</v>
      </c>
      <c r="I269" t="s">
        <v>15</v>
      </c>
    </row>
    <row r="270" spans="1:9" ht="18" x14ac:dyDescent="0.2">
      <c r="A270" s="5">
        <v>45108</v>
      </c>
      <c r="B270" s="6">
        <v>42.75</v>
      </c>
      <c r="C270" s="6">
        <v>55.83</v>
      </c>
      <c r="D270" s="6">
        <v>41.13</v>
      </c>
      <c r="E270" s="6">
        <v>53.96</v>
      </c>
      <c r="F270" s="6">
        <v>48.01</v>
      </c>
      <c r="G270" s="7">
        <v>59782500</v>
      </c>
      <c r="H270" t="s">
        <v>82</v>
      </c>
      <c r="I270" t="s">
        <v>15</v>
      </c>
    </row>
    <row r="271" spans="1:9" ht="18" x14ac:dyDescent="0.2">
      <c r="A271" s="5">
        <v>45078</v>
      </c>
      <c r="B271" s="6">
        <v>36.68</v>
      </c>
      <c r="C271" s="6">
        <v>44.22</v>
      </c>
      <c r="D271" s="6">
        <v>35.46</v>
      </c>
      <c r="E271" s="6">
        <v>42.36</v>
      </c>
      <c r="F271" s="6">
        <v>37.08</v>
      </c>
      <c r="G271" s="7">
        <v>66703400</v>
      </c>
      <c r="H271" t="s">
        <v>82</v>
      </c>
      <c r="I271" t="s">
        <v>15</v>
      </c>
    </row>
    <row r="272" spans="1:9" ht="18" x14ac:dyDescent="0.2">
      <c r="A272" s="5">
        <v>45047</v>
      </c>
      <c r="B272" s="6">
        <v>43.42</v>
      </c>
      <c r="C272" s="6">
        <v>44.38</v>
      </c>
      <c r="D272" s="6">
        <v>28.4</v>
      </c>
      <c r="E272" s="6">
        <v>36.1</v>
      </c>
      <c r="F272" s="6">
        <v>31.6</v>
      </c>
      <c r="G272" s="7">
        <v>122323400</v>
      </c>
      <c r="H272" t="s">
        <v>82</v>
      </c>
      <c r="I272" t="s">
        <v>15</v>
      </c>
    </row>
    <row r="273" spans="1:9" ht="18" x14ac:dyDescent="0.2">
      <c r="A273" s="5">
        <v>45017</v>
      </c>
      <c r="B273" s="6">
        <v>43.57</v>
      </c>
      <c r="C273" s="6">
        <v>47.53</v>
      </c>
      <c r="D273" s="6">
        <v>38.159999999999997</v>
      </c>
      <c r="E273" s="6">
        <v>43.37</v>
      </c>
      <c r="F273" s="6">
        <v>37.96</v>
      </c>
      <c r="G273" s="7">
        <v>68145700</v>
      </c>
      <c r="H273" t="s">
        <v>82</v>
      </c>
      <c r="I273" t="s">
        <v>15</v>
      </c>
    </row>
    <row r="274" spans="1:9" ht="18" x14ac:dyDescent="0.2">
      <c r="A274" s="5">
        <v>44986</v>
      </c>
      <c r="B274" s="6">
        <v>70</v>
      </c>
      <c r="C274" s="6">
        <v>71.14</v>
      </c>
      <c r="D274" s="6">
        <v>29.17</v>
      </c>
      <c r="E274" s="6">
        <v>43.42</v>
      </c>
      <c r="F274" s="6">
        <v>37.369999999999997</v>
      </c>
      <c r="G274" s="7">
        <v>144493500</v>
      </c>
      <c r="H274" t="s">
        <v>82</v>
      </c>
      <c r="I274" t="s">
        <v>15</v>
      </c>
    </row>
    <row r="275" spans="1:9" ht="18" x14ac:dyDescent="0.2">
      <c r="A275" s="5">
        <v>44958</v>
      </c>
      <c r="B275" s="6">
        <v>72.52</v>
      </c>
      <c r="C275" s="6">
        <v>77.34</v>
      </c>
      <c r="D275" s="6">
        <v>68.38</v>
      </c>
      <c r="E275" s="6">
        <v>70.099999999999994</v>
      </c>
      <c r="F275" s="6">
        <v>60.34</v>
      </c>
      <c r="G275" s="7">
        <v>28010900</v>
      </c>
      <c r="H275" t="s">
        <v>82</v>
      </c>
      <c r="I275" t="s">
        <v>15</v>
      </c>
    </row>
    <row r="276" spans="1:9" ht="18" x14ac:dyDescent="0.2">
      <c r="A276" s="5">
        <v>44927</v>
      </c>
      <c r="B276" s="6">
        <v>67.25</v>
      </c>
      <c r="C276" s="6">
        <v>73.400000000000006</v>
      </c>
      <c r="D276" s="6">
        <v>65.22</v>
      </c>
      <c r="E276" s="6">
        <v>73.31</v>
      </c>
      <c r="F276" s="6">
        <v>63.1</v>
      </c>
      <c r="G276" s="7">
        <v>30792900</v>
      </c>
      <c r="H276" t="s">
        <v>82</v>
      </c>
      <c r="I276" t="s">
        <v>15</v>
      </c>
    </row>
    <row r="277" spans="1:9" ht="18" x14ac:dyDescent="0.2">
      <c r="A277" s="5">
        <v>44896</v>
      </c>
      <c r="B277" s="6">
        <v>72.42</v>
      </c>
      <c r="C277" s="6">
        <v>72.92</v>
      </c>
      <c r="D277" s="6">
        <v>62.83</v>
      </c>
      <c r="E277" s="6">
        <v>66.849999999999994</v>
      </c>
      <c r="F277" s="6">
        <v>56.95</v>
      </c>
      <c r="G277" s="7">
        <v>31114800</v>
      </c>
      <c r="H277" t="s">
        <v>82</v>
      </c>
      <c r="I277" t="s">
        <v>15</v>
      </c>
    </row>
    <row r="278" spans="1:9" ht="18" x14ac:dyDescent="0.2">
      <c r="A278" s="5">
        <v>44866</v>
      </c>
      <c r="B278" s="6">
        <v>71.400000000000006</v>
      </c>
      <c r="C278" s="6">
        <v>75.5</v>
      </c>
      <c r="D278" s="6">
        <v>65.64</v>
      </c>
      <c r="E278" s="6">
        <v>71.739999999999995</v>
      </c>
      <c r="F278" s="6">
        <v>61.11</v>
      </c>
      <c r="G278" s="7">
        <v>30335800</v>
      </c>
      <c r="H278" t="s">
        <v>82</v>
      </c>
      <c r="I278" t="s">
        <v>15</v>
      </c>
    </row>
    <row r="279" spans="1:9" ht="18" x14ac:dyDescent="0.2">
      <c r="A279" s="5">
        <v>44835</v>
      </c>
      <c r="B279" s="6">
        <v>72.11</v>
      </c>
      <c r="C279" s="6">
        <v>76.44</v>
      </c>
      <c r="D279" s="6">
        <v>64.11</v>
      </c>
      <c r="E279" s="6">
        <v>70.5</v>
      </c>
      <c r="F279" s="6">
        <v>60.06</v>
      </c>
      <c r="G279" s="7">
        <v>38004100</v>
      </c>
      <c r="H279" t="s">
        <v>82</v>
      </c>
      <c r="I279" t="s">
        <v>15</v>
      </c>
    </row>
    <row r="280" spans="1:9" ht="18" x14ac:dyDescent="0.2">
      <c r="A280" s="5">
        <v>44805</v>
      </c>
      <c r="B280" s="6">
        <v>80.19</v>
      </c>
      <c r="C280" s="6">
        <v>86.42</v>
      </c>
      <c r="D280" s="6">
        <v>70.989999999999995</v>
      </c>
      <c r="E280" s="6">
        <v>71.099999999999994</v>
      </c>
      <c r="F280" s="6">
        <v>60.07</v>
      </c>
      <c r="G280" s="7">
        <v>27706600</v>
      </c>
      <c r="H280" t="s">
        <v>82</v>
      </c>
      <c r="I280" t="s">
        <v>15</v>
      </c>
    </row>
    <row r="281" spans="1:9" ht="18" x14ac:dyDescent="0.2">
      <c r="A281" s="5">
        <v>44774</v>
      </c>
      <c r="B281" s="6">
        <v>77.260000000000005</v>
      </c>
      <c r="C281" s="6">
        <v>87.02</v>
      </c>
      <c r="D281" s="6">
        <v>76.41</v>
      </c>
      <c r="E281" s="6">
        <v>80.3</v>
      </c>
      <c r="F281" s="6">
        <v>67.84</v>
      </c>
      <c r="G281" s="7">
        <v>16150400</v>
      </c>
      <c r="H281" t="s">
        <v>82</v>
      </c>
      <c r="I281" t="s">
        <v>15</v>
      </c>
    </row>
    <row r="282" spans="1:9" ht="18" x14ac:dyDescent="0.2">
      <c r="A282" s="5">
        <v>44743</v>
      </c>
      <c r="B282" s="6">
        <v>73.239999999999995</v>
      </c>
      <c r="C282" s="6">
        <v>82.82</v>
      </c>
      <c r="D282" s="6">
        <v>70.709999999999994</v>
      </c>
      <c r="E282" s="6">
        <v>77.77</v>
      </c>
      <c r="F282" s="6">
        <v>65.7</v>
      </c>
      <c r="G282" s="7">
        <v>22438800</v>
      </c>
      <c r="H282" t="s">
        <v>82</v>
      </c>
      <c r="I282" t="s">
        <v>15</v>
      </c>
    </row>
    <row r="283" spans="1:9" ht="18" x14ac:dyDescent="0.2">
      <c r="A283" s="5">
        <v>44713</v>
      </c>
      <c r="B283" s="6">
        <v>83.53</v>
      </c>
      <c r="C283" s="6">
        <v>83.53</v>
      </c>
      <c r="D283" s="6">
        <v>72.069999999999993</v>
      </c>
      <c r="E283" s="6">
        <v>73.38</v>
      </c>
      <c r="F283" s="6">
        <v>61.43</v>
      </c>
      <c r="G283" s="7">
        <v>25320800</v>
      </c>
      <c r="H283" t="s">
        <v>82</v>
      </c>
      <c r="I283" t="s">
        <v>15</v>
      </c>
    </row>
    <row r="284" spans="1:9" ht="18" x14ac:dyDescent="0.2">
      <c r="A284" s="5">
        <v>44682</v>
      </c>
      <c r="B284" s="6">
        <v>84.12</v>
      </c>
      <c r="C284" s="6">
        <v>85.99</v>
      </c>
      <c r="D284" s="6">
        <v>70.790000000000006</v>
      </c>
      <c r="E284" s="6">
        <v>83.21</v>
      </c>
      <c r="F284" s="6">
        <v>69.66</v>
      </c>
      <c r="G284" s="7">
        <v>30311600</v>
      </c>
      <c r="H284" t="s">
        <v>82</v>
      </c>
      <c r="I284" t="s">
        <v>15</v>
      </c>
    </row>
    <row r="285" spans="1:9" ht="18" x14ac:dyDescent="0.2">
      <c r="A285" s="5">
        <v>44652</v>
      </c>
      <c r="B285" s="6">
        <v>93.84</v>
      </c>
      <c r="C285" s="6">
        <v>93.96</v>
      </c>
      <c r="D285" s="6">
        <v>78.569999999999993</v>
      </c>
      <c r="E285" s="6">
        <v>81.900000000000006</v>
      </c>
      <c r="F285" s="6">
        <v>68.56</v>
      </c>
      <c r="G285" s="7">
        <v>34737300</v>
      </c>
      <c r="H285" t="s">
        <v>82</v>
      </c>
      <c r="I285" t="s">
        <v>15</v>
      </c>
    </row>
    <row r="286" spans="1:9" ht="18" x14ac:dyDescent="0.2">
      <c r="A286" s="5">
        <v>44621</v>
      </c>
      <c r="B286" s="6">
        <v>94.31</v>
      </c>
      <c r="C286" s="6">
        <v>97.52</v>
      </c>
      <c r="D286" s="6">
        <v>83.44</v>
      </c>
      <c r="E286" s="6">
        <v>90.43</v>
      </c>
      <c r="F286" s="6">
        <v>75.12</v>
      </c>
      <c r="G286" s="7">
        <v>38107900</v>
      </c>
      <c r="H286" t="s">
        <v>82</v>
      </c>
      <c r="I286" t="s">
        <v>15</v>
      </c>
    </row>
    <row r="287" spans="1:9" ht="18" x14ac:dyDescent="0.2">
      <c r="A287" s="5">
        <v>44593</v>
      </c>
      <c r="B287" s="6">
        <v>93</v>
      </c>
      <c r="C287" s="6">
        <v>102.09</v>
      </c>
      <c r="D287" s="6">
        <v>87.35</v>
      </c>
      <c r="E287" s="6">
        <v>95.49</v>
      </c>
      <c r="F287" s="6">
        <v>79.319999999999993</v>
      </c>
      <c r="G287" s="7">
        <v>21044900</v>
      </c>
      <c r="H287" t="s">
        <v>82</v>
      </c>
      <c r="I287" t="s">
        <v>15</v>
      </c>
    </row>
    <row r="288" spans="1:9" ht="18" x14ac:dyDescent="0.2">
      <c r="A288" s="5">
        <v>44562</v>
      </c>
      <c r="B288" s="6">
        <v>88.32</v>
      </c>
      <c r="C288" s="6">
        <v>102</v>
      </c>
      <c r="D288" s="6">
        <v>85.61</v>
      </c>
      <c r="E288" s="6">
        <v>92.78</v>
      </c>
      <c r="F288" s="6">
        <v>77.069999999999993</v>
      </c>
      <c r="G288" s="7">
        <v>30678000</v>
      </c>
      <c r="H288" t="s">
        <v>82</v>
      </c>
      <c r="I288" t="s">
        <v>15</v>
      </c>
    </row>
    <row r="289" spans="1:9" ht="18" x14ac:dyDescent="0.2">
      <c r="A289" s="5">
        <v>44531</v>
      </c>
      <c r="B289" s="6">
        <v>84.78</v>
      </c>
      <c r="C289" s="6">
        <v>88.76</v>
      </c>
      <c r="D289" s="6">
        <v>79.989999999999995</v>
      </c>
      <c r="E289" s="6">
        <v>87</v>
      </c>
      <c r="F289" s="6">
        <v>71.67</v>
      </c>
      <c r="G289" s="7">
        <v>29554100</v>
      </c>
      <c r="H289" t="s">
        <v>82</v>
      </c>
      <c r="I289" t="s">
        <v>15</v>
      </c>
    </row>
    <row r="290" spans="1:9" ht="18" x14ac:dyDescent="0.2">
      <c r="A290" s="5">
        <v>44501</v>
      </c>
      <c r="B290" s="6">
        <v>86.11</v>
      </c>
      <c r="C290" s="6">
        <v>91.62</v>
      </c>
      <c r="D290" s="6">
        <v>82.29</v>
      </c>
      <c r="E290" s="6">
        <v>82.53</v>
      </c>
      <c r="F290" s="6">
        <v>67.989999999999995</v>
      </c>
      <c r="G290" s="7">
        <v>18812300</v>
      </c>
      <c r="H290" t="s">
        <v>82</v>
      </c>
      <c r="I290" t="s">
        <v>15</v>
      </c>
    </row>
    <row r="291" spans="1:9" ht="18" x14ac:dyDescent="0.2">
      <c r="A291" s="5">
        <v>44470</v>
      </c>
      <c r="B291" s="6">
        <v>80.91</v>
      </c>
      <c r="C291" s="6">
        <v>89.21</v>
      </c>
      <c r="D291" s="6">
        <v>80.63</v>
      </c>
      <c r="E291" s="6">
        <v>85.09</v>
      </c>
      <c r="F291" s="6">
        <v>70.099999999999994</v>
      </c>
      <c r="G291" s="7">
        <v>23072500</v>
      </c>
      <c r="H291" t="s">
        <v>82</v>
      </c>
      <c r="I291" t="s">
        <v>15</v>
      </c>
    </row>
    <row r="292" spans="1:9" ht="18" x14ac:dyDescent="0.2">
      <c r="A292" s="5">
        <v>44440</v>
      </c>
      <c r="B292" s="6">
        <v>73.89</v>
      </c>
      <c r="C292" s="6">
        <v>83.03</v>
      </c>
      <c r="D292" s="6">
        <v>70.37</v>
      </c>
      <c r="E292" s="6">
        <v>80.5</v>
      </c>
      <c r="F292" s="6">
        <v>65.709999999999994</v>
      </c>
      <c r="G292" s="7">
        <v>35303600</v>
      </c>
      <c r="H292" t="s">
        <v>82</v>
      </c>
      <c r="I292" t="s">
        <v>15</v>
      </c>
    </row>
    <row r="293" spans="1:9" ht="18" x14ac:dyDescent="0.2">
      <c r="A293" s="5">
        <v>44409</v>
      </c>
      <c r="B293" s="6">
        <v>69.150000000000006</v>
      </c>
      <c r="C293" s="6">
        <v>76.010000000000005</v>
      </c>
      <c r="D293" s="6">
        <v>66.5</v>
      </c>
      <c r="E293" s="6">
        <v>73.91</v>
      </c>
      <c r="F293" s="6">
        <v>60.33</v>
      </c>
      <c r="G293" s="7">
        <v>26826400</v>
      </c>
      <c r="H293" t="s">
        <v>82</v>
      </c>
      <c r="I293" t="s">
        <v>15</v>
      </c>
    </row>
    <row r="294" spans="1:9" ht="18" x14ac:dyDescent="0.2">
      <c r="A294" s="5">
        <v>44378</v>
      </c>
      <c r="B294" s="6">
        <v>72.08</v>
      </c>
      <c r="C294" s="6">
        <v>72.52</v>
      </c>
      <c r="D294" s="6">
        <v>63.07</v>
      </c>
      <c r="E294" s="6">
        <v>68.66</v>
      </c>
      <c r="F294" s="6">
        <v>56.04</v>
      </c>
      <c r="G294" s="7">
        <v>26629900</v>
      </c>
      <c r="H294" t="s">
        <v>82</v>
      </c>
      <c r="I294" t="s">
        <v>15</v>
      </c>
    </row>
    <row r="295" spans="1:9" ht="18" x14ac:dyDescent="0.2">
      <c r="A295" s="5">
        <v>44348</v>
      </c>
      <c r="B295" s="6">
        <v>79.5</v>
      </c>
      <c r="C295" s="6">
        <v>79.86</v>
      </c>
      <c r="D295" s="6">
        <v>67.540000000000006</v>
      </c>
      <c r="E295" s="6">
        <v>71.34</v>
      </c>
      <c r="F295" s="6">
        <v>57.69</v>
      </c>
      <c r="G295" s="7">
        <v>32975700</v>
      </c>
      <c r="H295" t="s">
        <v>82</v>
      </c>
      <c r="I295" t="s">
        <v>15</v>
      </c>
    </row>
    <row r="296" spans="1:9" ht="18" x14ac:dyDescent="0.2">
      <c r="A296" s="5">
        <v>44317</v>
      </c>
      <c r="B296" s="6">
        <v>76.09</v>
      </c>
      <c r="C296" s="6">
        <v>79.84</v>
      </c>
      <c r="D296" s="6">
        <v>73.33</v>
      </c>
      <c r="E296" s="6">
        <v>78.489999999999995</v>
      </c>
      <c r="F296" s="6">
        <v>63.48</v>
      </c>
      <c r="G296" s="7">
        <v>25831300</v>
      </c>
      <c r="H296" t="s">
        <v>82</v>
      </c>
      <c r="I296" t="s">
        <v>15</v>
      </c>
    </row>
    <row r="297" spans="1:9" ht="18" x14ac:dyDescent="0.2">
      <c r="A297" s="5">
        <v>44287</v>
      </c>
      <c r="B297" s="6">
        <v>71.45</v>
      </c>
      <c r="C297" s="6">
        <v>76.13</v>
      </c>
      <c r="D297" s="6">
        <v>66.36</v>
      </c>
      <c r="E297" s="6">
        <v>75.16</v>
      </c>
      <c r="F297" s="6">
        <v>60.78</v>
      </c>
      <c r="G297" s="7">
        <v>33717700</v>
      </c>
      <c r="H297" t="s">
        <v>82</v>
      </c>
      <c r="I297" t="s">
        <v>15</v>
      </c>
    </row>
    <row r="298" spans="1:9" ht="18" x14ac:dyDescent="0.2">
      <c r="A298" s="5">
        <v>44256</v>
      </c>
      <c r="B298" s="6">
        <v>69.84</v>
      </c>
      <c r="C298" s="6">
        <v>73.62</v>
      </c>
      <c r="D298" s="6">
        <v>65.66</v>
      </c>
      <c r="E298" s="6">
        <v>71.739999999999995</v>
      </c>
      <c r="F298" s="6">
        <v>57.46</v>
      </c>
      <c r="G298" s="7">
        <v>39208300</v>
      </c>
      <c r="H298" t="s">
        <v>82</v>
      </c>
      <c r="I298" t="s">
        <v>15</v>
      </c>
    </row>
    <row r="299" spans="1:9" ht="18" x14ac:dyDescent="0.2">
      <c r="A299" s="5">
        <v>44228</v>
      </c>
      <c r="B299" s="6">
        <v>57.72</v>
      </c>
      <c r="C299" s="6">
        <v>73.73</v>
      </c>
      <c r="D299" s="6">
        <v>56.72</v>
      </c>
      <c r="E299" s="6">
        <v>68.099999999999994</v>
      </c>
      <c r="F299" s="6">
        <v>54.54</v>
      </c>
      <c r="G299" s="7">
        <v>22647600</v>
      </c>
      <c r="H299" t="s">
        <v>82</v>
      </c>
      <c r="I299" t="s">
        <v>15</v>
      </c>
    </row>
    <row r="300" spans="1:9" ht="18" x14ac:dyDescent="0.2">
      <c r="A300" s="5">
        <v>44197</v>
      </c>
      <c r="B300" s="6">
        <v>56.66</v>
      </c>
      <c r="C300" s="6">
        <v>66.08</v>
      </c>
      <c r="D300" s="6">
        <v>54.78</v>
      </c>
      <c r="E300" s="6">
        <v>57.2</v>
      </c>
      <c r="F300" s="6">
        <v>45.81</v>
      </c>
      <c r="G300" s="7">
        <v>28298700</v>
      </c>
      <c r="H300" t="s">
        <v>82</v>
      </c>
      <c r="I300" t="s">
        <v>15</v>
      </c>
    </row>
    <row r="301" spans="1:9" ht="18" x14ac:dyDescent="0.2">
      <c r="A301" s="5">
        <v>44166</v>
      </c>
      <c r="B301" s="6">
        <v>50.92</v>
      </c>
      <c r="C301" s="6">
        <v>56.97</v>
      </c>
      <c r="D301" s="6">
        <v>50.49</v>
      </c>
      <c r="E301" s="6">
        <v>55.86</v>
      </c>
      <c r="F301" s="6">
        <v>44.16</v>
      </c>
      <c r="G301" s="7">
        <v>34769300</v>
      </c>
      <c r="H301" t="s">
        <v>82</v>
      </c>
      <c r="I301" t="s">
        <v>15</v>
      </c>
    </row>
    <row r="302" spans="1:9" x14ac:dyDescent="0.2">
      <c r="A302" s="9">
        <v>45962</v>
      </c>
      <c r="B302" s="8">
        <v>44.4</v>
      </c>
      <c r="C302" s="8">
        <v>44.74</v>
      </c>
      <c r="D302" s="8">
        <v>43.37</v>
      </c>
      <c r="E302" s="8">
        <v>44.74</v>
      </c>
      <c r="F302" s="8">
        <v>44.74</v>
      </c>
      <c r="G302" s="10">
        <v>47378200</v>
      </c>
      <c r="H302" t="s">
        <v>82</v>
      </c>
      <c r="I302" t="s">
        <v>16</v>
      </c>
    </row>
    <row r="303" spans="1:9" x14ac:dyDescent="0.2">
      <c r="A303" s="9">
        <v>45931</v>
      </c>
      <c r="B303" s="8">
        <v>45.36</v>
      </c>
      <c r="C303" s="8">
        <v>46.37</v>
      </c>
      <c r="D303" s="8">
        <v>40.78</v>
      </c>
      <c r="E303" s="8">
        <v>44.63</v>
      </c>
      <c r="F303" s="8">
        <v>44.63</v>
      </c>
      <c r="G303" s="10">
        <v>196752000</v>
      </c>
      <c r="H303" t="s">
        <v>82</v>
      </c>
      <c r="I303" t="s">
        <v>16</v>
      </c>
    </row>
    <row r="304" spans="1:9" x14ac:dyDescent="0.2">
      <c r="A304" s="9">
        <v>45901</v>
      </c>
      <c r="B304" s="8">
        <v>46.39</v>
      </c>
      <c r="C304" s="8">
        <v>47.46</v>
      </c>
      <c r="D304" s="8">
        <v>43.99</v>
      </c>
      <c r="E304" s="8">
        <v>45.72</v>
      </c>
      <c r="F304" s="8">
        <v>45.72</v>
      </c>
      <c r="G304" s="10">
        <v>166292700</v>
      </c>
      <c r="H304" t="s">
        <v>82</v>
      </c>
      <c r="I304" t="s">
        <v>16</v>
      </c>
    </row>
    <row r="305" spans="1:9" x14ac:dyDescent="0.2">
      <c r="A305" s="9">
        <v>45870</v>
      </c>
      <c r="B305" s="8">
        <v>42.92</v>
      </c>
      <c r="C305" s="8">
        <v>47.14</v>
      </c>
      <c r="D305" s="8">
        <v>41.98</v>
      </c>
      <c r="E305" s="8">
        <v>46.82</v>
      </c>
      <c r="F305" s="8">
        <v>46.25</v>
      </c>
      <c r="G305" s="10">
        <v>143997800</v>
      </c>
      <c r="H305" t="s">
        <v>82</v>
      </c>
      <c r="I305" t="s">
        <v>16</v>
      </c>
    </row>
    <row r="306" spans="1:9" x14ac:dyDescent="0.2">
      <c r="A306" s="9">
        <v>45839</v>
      </c>
      <c r="B306" s="8">
        <v>42.82</v>
      </c>
      <c r="C306" s="8">
        <v>46.13</v>
      </c>
      <c r="D306" s="8">
        <v>42.74</v>
      </c>
      <c r="E306" s="8">
        <v>43.71</v>
      </c>
      <c r="F306" s="8">
        <v>43.18</v>
      </c>
      <c r="G306" s="10">
        <v>179922600</v>
      </c>
      <c r="H306" t="s">
        <v>82</v>
      </c>
      <c r="I306" t="s">
        <v>16</v>
      </c>
    </row>
    <row r="307" spans="1:9" x14ac:dyDescent="0.2">
      <c r="A307" s="9">
        <v>45809</v>
      </c>
      <c r="B307" s="8">
        <v>39.21</v>
      </c>
      <c r="C307" s="8">
        <v>43.25</v>
      </c>
      <c r="D307" s="8">
        <v>38.67</v>
      </c>
      <c r="E307" s="8">
        <v>42.99</v>
      </c>
      <c r="F307" s="8">
        <v>42.47</v>
      </c>
      <c r="G307" s="10">
        <v>143791300</v>
      </c>
      <c r="H307" t="s">
        <v>82</v>
      </c>
      <c r="I307" t="s">
        <v>16</v>
      </c>
    </row>
    <row r="308" spans="1:9" x14ac:dyDescent="0.2">
      <c r="A308" s="9">
        <v>45778</v>
      </c>
      <c r="B308" s="8">
        <v>38.31</v>
      </c>
      <c r="C308" s="8">
        <v>41.49</v>
      </c>
      <c r="D308" s="8">
        <v>38.159999999999997</v>
      </c>
      <c r="E308" s="8">
        <v>39.5</v>
      </c>
      <c r="F308" s="8">
        <v>38.51</v>
      </c>
      <c r="G308" s="10">
        <v>161270100</v>
      </c>
      <c r="H308" t="s">
        <v>82</v>
      </c>
      <c r="I308" t="s">
        <v>16</v>
      </c>
    </row>
    <row r="309" spans="1:9" x14ac:dyDescent="0.2">
      <c r="A309" s="9">
        <v>45748</v>
      </c>
      <c r="B309" s="8">
        <v>40.78</v>
      </c>
      <c r="C309" s="8">
        <v>41.63</v>
      </c>
      <c r="D309" s="8">
        <v>33.56</v>
      </c>
      <c r="E309" s="8">
        <v>38.340000000000003</v>
      </c>
      <c r="F309" s="8">
        <v>37.380000000000003</v>
      </c>
      <c r="G309" s="10">
        <v>288658400</v>
      </c>
      <c r="H309" t="s">
        <v>82</v>
      </c>
      <c r="I309" t="s">
        <v>16</v>
      </c>
    </row>
    <row r="310" spans="1:9" x14ac:dyDescent="0.2">
      <c r="A310" s="9">
        <v>45717</v>
      </c>
      <c r="B310" s="8">
        <v>46.54</v>
      </c>
      <c r="C310" s="8">
        <v>46.92</v>
      </c>
      <c r="D310" s="8">
        <v>39.409999999999997</v>
      </c>
      <c r="E310" s="8">
        <v>41.15</v>
      </c>
      <c r="F310" s="8">
        <v>40.119999999999997</v>
      </c>
      <c r="G310" s="10">
        <v>204852900</v>
      </c>
      <c r="H310" t="s">
        <v>82</v>
      </c>
      <c r="I310" t="s">
        <v>16</v>
      </c>
    </row>
    <row r="311" spans="1:9" x14ac:dyDescent="0.2">
      <c r="A311" s="9">
        <v>45689</v>
      </c>
      <c r="B311" s="8">
        <v>46.65</v>
      </c>
      <c r="C311" s="8">
        <v>48.27</v>
      </c>
      <c r="D311" s="8">
        <v>44.79</v>
      </c>
      <c r="E311" s="8">
        <v>46.35</v>
      </c>
      <c r="F311" s="8">
        <v>44.68</v>
      </c>
      <c r="G311" s="10">
        <v>121647200</v>
      </c>
      <c r="H311" t="s">
        <v>82</v>
      </c>
      <c r="I311" t="s">
        <v>16</v>
      </c>
    </row>
    <row r="312" spans="1:9" x14ac:dyDescent="0.2">
      <c r="A312" s="9">
        <v>45658</v>
      </c>
      <c r="B312" s="8">
        <v>43.74</v>
      </c>
      <c r="C312" s="8">
        <v>48.53</v>
      </c>
      <c r="D312" s="8">
        <v>42.57</v>
      </c>
      <c r="E312" s="8">
        <v>47.62</v>
      </c>
      <c r="F312" s="8">
        <v>45.9</v>
      </c>
      <c r="G312" s="10">
        <v>157933000</v>
      </c>
      <c r="H312" t="s">
        <v>82</v>
      </c>
      <c r="I312" t="s">
        <v>16</v>
      </c>
    </row>
    <row r="313" spans="1:9" x14ac:dyDescent="0.2">
      <c r="A313" s="9">
        <v>45627</v>
      </c>
      <c r="B313" s="8">
        <v>47.9</v>
      </c>
      <c r="C313" s="8">
        <v>47.97</v>
      </c>
      <c r="D313" s="8">
        <v>42.28</v>
      </c>
      <c r="E313" s="8">
        <v>43.38</v>
      </c>
      <c r="F313" s="8">
        <v>41.82</v>
      </c>
      <c r="G313" s="10">
        <v>148797800</v>
      </c>
      <c r="H313" t="s">
        <v>82</v>
      </c>
      <c r="I313" t="s">
        <v>16</v>
      </c>
    </row>
    <row r="314" spans="1:9" x14ac:dyDescent="0.2">
      <c r="A314" s="9">
        <v>45597</v>
      </c>
      <c r="B314" s="8">
        <v>43.33</v>
      </c>
      <c r="C314" s="8">
        <v>49.06</v>
      </c>
      <c r="D314" s="8">
        <v>42.04</v>
      </c>
      <c r="E314" s="8">
        <v>47.68</v>
      </c>
      <c r="F314" s="8">
        <v>45.44</v>
      </c>
      <c r="G314" s="10">
        <v>178506700</v>
      </c>
      <c r="H314" t="s">
        <v>82</v>
      </c>
      <c r="I314" t="s">
        <v>16</v>
      </c>
    </row>
    <row r="315" spans="1:9" x14ac:dyDescent="0.2">
      <c r="A315" s="9">
        <v>45566</v>
      </c>
      <c r="B315" s="8">
        <v>42.51</v>
      </c>
      <c r="C315" s="8">
        <v>44.93</v>
      </c>
      <c r="D315" s="8">
        <v>41.08</v>
      </c>
      <c r="E315" s="8">
        <v>43.05</v>
      </c>
      <c r="F315" s="8">
        <v>41.03</v>
      </c>
      <c r="G315" s="10">
        <v>181114000</v>
      </c>
      <c r="H315" t="s">
        <v>82</v>
      </c>
      <c r="I315" t="s">
        <v>16</v>
      </c>
    </row>
    <row r="316" spans="1:9" x14ac:dyDescent="0.2">
      <c r="A316" s="9">
        <v>45536</v>
      </c>
      <c r="B316" s="8">
        <v>44.09</v>
      </c>
      <c r="C316" s="8">
        <v>44.76</v>
      </c>
      <c r="D316" s="8">
        <v>40.67</v>
      </c>
      <c r="E316" s="8">
        <v>42.77</v>
      </c>
      <c r="F316" s="8">
        <v>40.76</v>
      </c>
      <c r="G316" s="10">
        <v>154849300</v>
      </c>
      <c r="H316" t="s">
        <v>82</v>
      </c>
      <c r="I316" t="s">
        <v>16</v>
      </c>
    </row>
    <row r="317" spans="1:9" x14ac:dyDescent="0.2">
      <c r="A317" s="9">
        <v>45505</v>
      </c>
      <c r="B317" s="8">
        <v>44.76</v>
      </c>
      <c r="C317" s="8">
        <v>44.87</v>
      </c>
      <c r="D317" s="8">
        <v>39.92</v>
      </c>
      <c r="E317" s="8">
        <v>44.46</v>
      </c>
      <c r="F317" s="8">
        <v>41.85</v>
      </c>
      <c r="G317" s="10">
        <v>159398200</v>
      </c>
      <c r="H317" t="s">
        <v>82</v>
      </c>
      <c r="I317" t="s">
        <v>16</v>
      </c>
    </row>
    <row r="318" spans="1:9" x14ac:dyDescent="0.2">
      <c r="A318" s="9">
        <v>45474</v>
      </c>
      <c r="B318" s="8">
        <v>38.82</v>
      </c>
      <c r="C318" s="8">
        <v>45.31</v>
      </c>
      <c r="D318" s="8">
        <v>37.85</v>
      </c>
      <c r="E318" s="8">
        <v>44.69</v>
      </c>
      <c r="F318" s="8">
        <v>42.07</v>
      </c>
      <c r="G318" s="10">
        <v>165060800</v>
      </c>
      <c r="H318" t="s">
        <v>82</v>
      </c>
      <c r="I318" t="s">
        <v>16</v>
      </c>
    </row>
    <row r="319" spans="1:9" x14ac:dyDescent="0.2">
      <c r="A319" s="9">
        <v>45444</v>
      </c>
      <c r="B319" s="8">
        <v>38.11</v>
      </c>
      <c r="C319" s="8">
        <v>38.89</v>
      </c>
      <c r="D319" s="8">
        <v>35.1</v>
      </c>
      <c r="E319" s="8">
        <v>38.85</v>
      </c>
      <c r="F319" s="8">
        <v>36.57</v>
      </c>
      <c r="G319" s="10">
        <v>139227300</v>
      </c>
      <c r="H319" t="s">
        <v>82</v>
      </c>
      <c r="I319" t="s">
        <v>16</v>
      </c>
    </row>
    <row r="320" spans="1:9" x14ac:dyDescent="0.2">
      <c r="A320" s="9">
        <v>45413</v>
      </c>
      <c r="B320" s="8">
        <v>37.69</v>
      </c>
      <c r="C320" s="8">
        <v>40.51</v>
      </c>
      <c r="D320" s="8">
        <v>36.79</v>
      </c>
      <c r="E320" s="8">
        <v>37.75</v>
      </c>
      <c r="F320" s="8">
        <v>35.07</v>
      </c>
      <c r="G320" s="10">
        <v>143673500</v>
      </c>
      <c r="H320" t="s">
        <v>82</v>
      </c>
      <c r="I320" t="s">
        <v>16</v>
      </c>
    </row>
    <row r="321" spans="1:9" x14ac:dyDescent="0.2">
      <c r="A321" s="9">
        <v>45383</v>
      </c>
      <c r="B321" s="8">
        <v>38.92</v>
      </c>
      <c r="C321" s="8">
        <v>39.229999999999997</v>
      </c>
      <c r="D321" s="8">
        <v>35.090000000000003</v>
      </c>
      <c r="E321" s="8">
        <v>37.549999999999997</v>
      </c>
      <c r="F321" s="8">
        <v>34.880000000000003</v>
      </c>
      <c r="G321" s="10">
        <v>188458300</v>
      </c>
      <c r="H321" t="s">
        <v>82</v>
      </c>
      <c r="I321" t="s">
        <v>16</v>
      </c>
    </row>
    <row r="322" spans="1:9" x14ac:dyDescent="0.2">
      <c r="A322" s="9">
        <v>45352</v>
      </c>
      <c r="B322" s="8">
        <v>34.97</v>
      </c>
      <c r="C322" s="8">
        <v>39.29</v>
      </c>
      <c r="D322" s="8">
        <v>34.51</v>
      </c>
      <c r="E322" s="8">
        <v>38.979999999999997</v>
      </c>
      <c r="F322" s="8">
        <v>36.21</v>
      </c>
      <c r="G322" s="10">
        <v>195065700</v>
      </c>
      <c r="H322" t="s">
        <v>82</v>
      </c>
      <c r="I322" t="s">
        <v>16</v>
      </c>
    </row>
    <row r="323" spans="1:9" x14ac:dyDescent="0.2">
      <c r="A323" s="9">
        <v>45323</v>
      </c>
      <c r="B323" s="8">
        <v>37.25</v>
      </c>
      <c r="C323" s="8">
        <v>37.99</v>
      </c>
      <c r="D323" s="8">
        <v>34.229999999999997</v>
      </c>
      <c r="E323" s="8">
        <v>34.979999999999997</v>
      </c>
      <c r="F323" s="8">
        <v>32.020000000000003</v>
      </c>
      <c r="G323" s="10">
        <v>201344800</v>
      </c>
      <c r="H323" t="s">
        <v>82</v>
      </c>
      <c r="I323" t="s">
        <v>16</v>
      </c>
    </row>
    <row r="324" spans="1:9" x14ac:dyDescent="0.2">
      <c r="A324" s="9">
        <v>45292</v>
      </c>
      <c r="B324" s="8">
        <v>36.630000000000003</v>
      </c>
      <c r="C324" s="8">
        <v>38.47</v>
      </c>
      <c r="D324" s="8">
        <v>35.090000000000003</v>
      </c>
      <c r="E324" s="8">
        <v>37.06</v>
      </c>
      <c r="F324" s="8">
        <v>33.93</v>
      </c>
      <c r="G324" s="10">
        <v>206938100</v>
      </c>
      <c r="H324" t="s">
        <v>82</v>
      </c>
      <c r="I324" t="s">
        <v>16</v>
      </c>
    </row>
    <row r="325" spans="1:9" x14ac:dyDescent="0.2">
      <c r="A325" s="9">
        <v>45261</v>
      </c>
      <c r="B325" s="8">
        <v>32.020000000000003</v>
      </c>
      <c r="C325" s="8">
        <v>37.83</v>
      </c>
      <c r="D325" s="8">
        <v>31.96</v>
      </c>
      <c r="E325" s="8">
        <v>36.92</v>
      </c>
      <c r="F325" s="8">
        <v>33.799999999999997</v>
      </c>
      <c r="G325" s="10">
        <v>203588700</v>
      </c>
      <c r="H325" t="s">
        <v>82</v>
      </c>
      <c r="I325" t="s">
        <v>16</v>
      </c>
    </row>
    <row r="326" spans="1:9" x14ac:dyDescent="0.2">
      <c r="A326" s="9">
        <v>45231</v>
      </c>
      <c r="B326" s="8">
        <v>28.38</v>
      </c>
      <c r="C326" s="8">
        <v>32.71</v>
      </c>
      <c r="D326" s="8">
        <v>28.13</v>
      </c>
      <c r="E326" s="8">
        <v>32.14</v>
      </c>
      <c r="F326" s="8">
        <v>28.92</v>
      </c>
      <c r="G326" s="10">
        <v>170239400</v>
      </c>
      <c r="H326" t="s">
        <v>82</v>
      </c>
      <c r="I326" t="s">
        <v>16</v>
      </c>
    </row>
    <row r="327" spans="1:9" x14ac:dyDescent="0.2">
      <c r="A327" s="9">
        <v>45200</v>
      </c>
      <c r="B327" s="8">
        <v>28.5</v>
      </c>
      <c r="C327" s="8">
        <v>29.92</v>
      </c>
      <c r="D327" s="8">
        <v>26.57</v>
      </c>
      <c r="E327" s="8">
        <v>28.36</v>
      </c>
      <c r="F327" s="8">
        <v>25.52</v>
      </c>
      <c r="G327" s="10">
        <v>236434300</v>
      </c>
      <c r="H327" t="s">
        <v>82</v>
      </c>
      <c r="I327" t="s">
        <v>16</v>
      </c>
    </row>
    <row r="328" spans="1:9" x14ac:dyDescent="0.2">
      <c r="A328" s="9">
        <v>45170</v>
      </c>
      <c r="B328" s="8">
        <v>30.88</v>
      </c>
      <c r="C328" s="8">
        <v>31.35</v>
      </c>
      <c r="D328" s="8">
        <v>27.7</v>
      </c>
      <c r="E328" s="8">
        <v>28.61</v>
      </c>
      <c r="F328" s="8">
        <v>25.74</v>
      </c>
      <c r="G328" s="10">
        <v>203115300</v>
      </c>
      <c r="H328" t="s">
        <v>82</v>
      </c>
      <c r="I328" t="s">
        <v>16</v>
      </c>
    </row>
    <row r="329" spans="1:9" x14ac:dyDescent="0.2">
      <c r="A329" s="9">
        <v>45139</v>
      </c>
      <c r="B329" s="8">
        <v>32.75</v>
      </c>
      <c r="C329" s="8">
        <v>32.96</v>
      </c>
      <c r="D329" s="8">
        <v>27.95</v>
      </c>
      <c r="E329" s="8">
        <v>30.55</v>
      </c>
      <c r="F329" s="8">
        <v>27.04</v>
      </c>
      <c r="G329" s="10">
        <v>232988500</v>
      </c>
      <c r="H329" t="s">
        <v>82</v>
      </c>
      <c r="I329" t="s">
        <v>16</v>
      </c>
    </row>
    <row r="330" spans="1:9" x14ac:dyDescent="0.2">
      <c r="A330" s="9">
        <v>45108</v>
      </c>
      <c r="B330" s="8">
        <v>30.52</v>
      </c>
      <c r="C330" s="8">
        <v>35.78</v>
      </c>
      <c r="D330" s="8">
        <v>29.9</v>
      </c>
      <c r="E330" s="8">
        <v>33.22</v>
      </c>
      <c r="F330" s="8">
        <v>29.4</v>
      </c>
      <c r="G330" s="10">
        <v>208971200</v>
      </c>
      <c r="H330" t="s">
        <v>82</v>
      </c>
      <c r="I330" t="s">
        <v>16</v>
      </c>
    </row>
    <row r="331" spans="1:9" x14ac:dyDescent="0.2">
      <c r="A331" s="9">
        <v>45078</v>
      </c>
      <c r="B331" s="8">
        <v>31.04</v>
      </c>
      <c r="C331" s="8">
        <v>33.75</v>
      </c>
      <c r="D331" s="8">
        <v>29.7</v>
      </c>
      <c r="E331" s="8">
        <v>30.35</v>
      </c>
      <c r="F331" s="8">
        <v>26.86</v>
      </c>
      <c r="G331" s="10">
        <v>241396100</v>
      </c>
      <c r="H331" t="s">
        <v>82</v>
      </c>
      <c r="I331" t="s">
        <v>16</v>
      </c>
    </row>
    <row r="332" spans="1:9" x14ac:dyDescent="0.2">
      <c r="A332" s="9">
        <v>45047</v>
      </c>
      <c r="B332" s="8">
        <v>32.43</v>
      </c>
      <c r="C332" s="8">
        <v>32.53</v>
      </c>
      <c r="D332" s="8">
        <v>25.56</v>
      </c>
      <c r="E332" s="8">
        <v>30.47</v>
      </c>
      <c r="F332" s="8">
        <v>26.46</v>
      </c>
      <c r="G332" s="10">
        <v>340877700</v>
      </c>
      <c r="H332" t="s">
        <v>82</v>
      </c>
      <c r="I332" t="s">
        <v>16</v>
      </c>
    </row>
    <row r="333" spans="1:9" x14ac:dyDescent="0.2">
      <c r="A333" s="9">
        <v>45017</v>
      </c>
      <c r="B333" s="8">
        <v>33.99</v>
      </c>
      <c r="C333" s="8">
        <v>35.39</v>
      </c>
      <c r="D333" s="8">
        <v>30.25</v>
      </c>
      <c r="E333" s="8">
        <v>32.58</v>
      </c>
      <c r="F333" s="8">
        <v>28.29</v>
      </c>
      <c r="G333" s="10">
        <v>258189600</v>
      </c>
      <c r="H333" t="s">
        <v>82</v>
      </c>
      <c r="I333" t="s">
        <v>16</v>
      </c>
    </row>
    <row r="334" spans="1:9" x14ac:dyDescent="0.2">
      <c r="A334" s="9">
        <v>44986</v>
      </c>
      <c r="B334" s="8">
        <v>46.61</v>
      </c>
      <c r="C334" s="8">
        <v>47.05</v>
      </c>
      <c r="D334" s="8">
        <v>28.7</v>
      </c>
      <c r="E334" s="8">
        <v>34.1</v>
      </c>
      <c r="F334" s="8">
        <v>29.61</v>
      </c>
      <c r="G334" s="10">
        <v>507560900</v>
      </c>
      <c r="H334" t="s">
        <v>82</v>
      </c>
      <c r="I334" t="s">
        <v>16</v>
      </c>
    </row>
    <row r="335" spans="1:9" x14ac:dyDescent="0.2">
      <c r="A335" s="9">
        <v>44958</v>
      </c>
      <c r="B335" s="8">
        <v>48.95</v>
      </c>
      <c r="C335" s="8">
        <v>50.57</v>
      </c>
      <c r="D335" s="8">
        <v>46.04</v>
      </c>
      <c r="E335" s="8">
        <v>46.95</v>
      </c>
      <c r="F335" s="8">
        <v>40.340000000000003</v>
      </c>
      <c r="G335" s="10">
        <v>101482700</v>
      </c>
      <c r="H335" t="s">
        <v>82</v>
      </c>
      <c r="I335" t="s">
        <v>16</v>
      </c>
    </row>
    <row r="336" spans="1:9" x14ac:dyDescent="0.2">
      <c r="A336" s="9">
        <v>44927</v>
      </c>
      <c r="B336" s="8">
        <v>43.42</v>
      </c>
      <c r="C336" s="8">
        <v>51.26</v>
      </c>
      <c r="D336" s="8">
        <v>43.01</v>
      </c>
      <c r="E336" s="8">
        <v>49.39</v>
      </c>
      <c r="F336" s="8">
        <v>42.44</v>
      </c>
      <c r="G336" s="10">
        <v>145712200</v>
      </c>
      <c r="H336" t="s">
        <v>82</v>
      </c>
      <c r="I336" t="s">
        <v>16</v>
      </c>
    </row>
    <row r="337" spans="1:9" x14ac:dyDescent="0.2">
      <c r="A337" s="9">
        <v>44896</v>
      </c>
      <c r="B337" s="8">
        <v>47.06</v>
      </c>
      <c r="C337" s="8">
        <v>47.46</v>
      </c>
      <c r="D337" s="8">
        <v>40.549999999999997</v>
      </c>
      <c r="E337" s="8">
        <v>43.03</v>
      </c>
      <c r="F337" s="8">
        <v>36.979999999999997</v>
      </c>
      <c r="G337" s="10">
        <v>181428500</v>
      </c>
      <c r="H337" t="s">
        <v>82</v>
      </c>
      <c r="I337" t="s">
        <v>16</v>
      </c>
    </row>
    <row r="338" spans="1:9" x14ac:dyDescent="0.2">
      <c r="A338" s="9">
        <v>44866</v>
      </c>
      <c r="B338" s="8">
        <v>45.19</v>
      </c>
      <c r="C338" s="8">
        <v>47.47</v>
      </c>
      <c r="D338" s="8">
        <v>42.14</v>
      </c>
      <c r="E338" s="8">
        <v>46.81</v>
      </c>
      <c r="F338" s="8">
        <v>39.75</v>
      </c>
      <c r="G338" s="10">
        <v>131948800</v>
      </c>
      <c r="H338" t="s">
        <v>82</v>
      </c>
      <c r="I338" t="s">
        <v>16</v>
      </c>
    </row>
    <row r="339" spans="1:9" x14ac:dyDescent="0.2">
      <c r="A339" s="9">
        <v>44835</v>
      </c>
      <c r="B339" s="8">
        <v>44.14</v>
      </c>
      <c r="C339" s="8">
        <v>46.6</v>
      </c>
      <c r="D339" s="8">
        <v>40.01</v>
      </c>
      <c r="E339" s="8">
        <v>44.79</v>
      </c>
      <c r="F339" s="8">
        <v>38.04</v>
      </c>
      <c r="G339" s="10">
        <v>159100400</v>
      </c>
      <c r="H339" t="s">
        <v>82</v>
      </c>
      <c r="I339" t="s">
        <v>16</v>
      </c>
    </row>
    <row r="340" spans="1:9" x14ac:dyDescent="0.2">
      <c r="A340" s="9">
        <v>44805</v>
      </c>
      <c r="B340" s="8">
        <v>46.94</v>
      </c>
      <c r="C340" s="8">
        <v>49.81</v>
      </c>
      <c r="D340" s="8">
        <v>42.56</v>
      </c>
      <c r="E340" s="8">
        <v>43.54</v>
      </c>
      <c r="F340" s="8">
        <v>36.979999999999997</v>
      </c>
      <c r="G340" s="10">
        <v>132125400</v>
      </c>
      <c r="H340" t="s">
        <v>82</v>
      </c>
      <c r="I340" t="s">
        <v>16</v>
      </c>
    </row>
    <row r="341" spans="1:9" x14ac:dyDescent="0.2">
      <c r="A341" s="9">
        <v>44774</v>
      </c>
      <c r="B341" s="8">
        <v>49.95</v>
      </c>
      <c r="C341" s="8">
        <v>52.22</v>
      </c>
      <c r="D341" s="8">
        <v>46.8</v>
      </c>
      <c r="E341" s="8">
        <v>46.84</v>
      </c>
      <c r="F341" s="8">
        <v>39.369999999999997</v>
      </c>
      <c r="G341" s="10">
        <v>94975900</v>
      </c>
      <c r="H341" t="s">
        <v>82</v>
      </c>
      <c r="I341" t="s">
        <v>16</v>
      </c>
    </row>
    <row r="342" spans="1:9" x14ac:dyDescent="0.2">
      <c r="A342" s="9">
        <v>44743</v>
      </c>
      <c r="B342" s="8">
        <v>47.31</v>
      </c>
      <c r="C342" s="8">
        <v>50.61</v>
      </c>
      <c r="D342" s="8">
        <v>44.68</v>
      </c>
      <c r="E342" s="8">
        <v>50.47</v>
      </c>
      <c r="F342" s="8">
        <v>42.42</v>
      </c>
      <c r="G342" s="10">
        <v>110474100</v>
      </c>
      <c r="H342" t="s">
        <v>82</v>
      </c>
      <c r="I342" t="s">
        <v>16</v>
      </c>
    </row>
    <row r="343" spans="1:9" x14ac:dyDescent="0.2">
      <c r="A343" s="9">
        <v>44713</v>
      </c>
      <c r="B343" s="8">
        <v>49.9</v>
      </c>
      <c r="C343" s="8">
        <v>50.4</v>
      </c>
      <c r="D343" s="8">
        <v>44.75</v>
      </c>
      <c r="E343" s="8">
        <v>47.43</v>
      </c>
      <c r="F343" s="8">
        <v>39.869999999999997</v>
      </c>
      <c r="G343" s="10">
        <v>145218600</v>
      </c>
      <c r="H343" t="s">
        <v>82</v>
      </c>
      <c r="I343" t="s">
        <v>16</v>
      </c>
    </row>
    <row r="344" spans="1:9" x14ac:dyDescent="0.2">
      <c r="A344" s="9">
        <v>44682</v>
      </c>
      <c r="B344" s="8">
        <v>49.2</v>
      </c>
      <c r="C344" s="8">
        <v>50.78</v>
      </c>
      <c r="D344" s="8">
        <v>44.85</v>
      </c>
      <c r="E344" s="8">
        <v>49.74</v>
      </c>
      <c r="F344" s="8">
        <v>41.38</v>
      </c>
      <c r="G344" s="10">
        <v>182420300</v>
      </c>
      <c r="H344" t="s">
        <v>82</v>
      </c>
      <c r="I344" t="s">
        <v>16</v>
      </c>
    </row>
    <row r="345" spans="1:9" x14ac:dyDescent="0.2">
      <c r="A345" s="9">
        <v>44652</v>
      </c>
      <c r="B345" s="8">
        <v>57</v>
      </c>
      <c r="C345" s="8">
        <v>57.5</v>
      </c>
      <c r="D345" s="8">
        <v>48.22</v>
      </c>
      <c r="E345" s="8">
        <v>48.35</v>
      </c>
      <c r="F345" s="8">
        <v>40.229999999999997</v>
      </c>
      <c r="G345" s="10">
        <v>158334900</v>
      </c>
      <c r="H345" t="s">
        <v>82</v>
      </c>
      <c r="I345" t="s">
        <v>16</v>
      </c>
    </row>
    <row r="346" spans="1:9" x14ac:dyDescent="0.2">
      <c r="A346" s="9">
        <v>44621</v>
      </c>
      <c r="B346" s="8">
        <v>61.28</v>
      </c>
      <c r="C346" s="8">
        <v>61.5</v>
      </c>
      <c r="D346" s="8">
        <v>56.19</v>
      </c>
      <c r="E346" s="8">
        <v>56.7</v>
      </c>
      <c r="F346" s="8">
        <v>47.17</v>
      </c>
      <c r="G346" s="10">
        <v>163980200</v>
      </c>
      <c r="H346" t="s">
        <v>82</v>
      </c>
      <c r="I346" t="s">
        <v>16</v>
      </c>
    </row>
    <row r="347" spans="1:9" x14ac:dyDescent="0.2">
      <c r="A347" s="9">
        <v>44593</v>
      </c>
      <c r="B347" s="8">
        <v>62.76</v>
      </c>
      <c r="C347" s="8">
        <v>66.099999999999994</v>
      </c>
      <c r="D347" s="8">
        <v>57.17</v>
      </c>
      <c r="E347" s="8">
        <v>62.22</v>
      </c>
      <c r="F347" s="8">
        <v>51.39</v>
      </c>
      <c r="G347" s="10">
        <v>113382600</v>
      </c>
      <c r="H347" t="s">
        <v>82</v>
      </c>
      <c r="I347" t="s">
        <v>16</v>
      </c>
    </row>
    <row r="348" spans="1:9" x14ac:dyDescent="0.2">
      <c r="A348" s="9">
        <v>44562</v>
      </c>
      <c r="B348" s="8">
        <v>59.33</v>
      </c>
      <c r="C348" s="8">
        <v>68.95</v>
      </c>
      <c r="D348" s="8">
        <v>59.3</v>
      </c>
      <c r="E348" s="8">
        <v>62.82</v>
      </c>
      <c r="F348" s="8">
        <v>51.88</v>
      </c>
      <c r="G348" s="10">
        <v>141082600</v>
      </c>
      <c r="H348" t="s">
        <v>82</v>
      </c>
      <c r="I348" t="s">
        <v>16</v>
      </c>
    </row>
    <row r="349" spans="1:9" x14ac:dyDescent="0.2">
      <c r="A349" s="9">
        <v>44531</v>
      </c>
      <c r="B349" s="8">
        <v>60.89</v>
      </c>
      <c r="C349" s="8">
        <v>61.42</v>
      </c>
      <c r="D349" s="8">
        <v>54.73</v>
      </c>
      <c r="E349" s="8">
        <v>58.55</v>
      </c>
      <c r="F349" s="8">
        <v>48.36</v>
      </c>
      <c r="G349" s="10">
        <v>104584300</v>
      </c>
      <c r="H349" t="s">
        <v>82</v>
      </c>
      <c r="I349" t="s">
        <v>16</v>
      </c>
    </row>
    <row r="350" spans="1:9" x14ac:dyDescent="0.2">
      <c r="A350" s="9">
        <v>44501</v>
      </c>
      <c r="B350" s="8">
        <v>64</v>
      </c>
      <c r="C350" s="8">
        <v>65.42</v>
      </c>
      <c r="D350" s="8">
        <v>58.8</v>
      </c>
      <c r="E350" s="8">
        <v>59.31</v>
      </c>
      <c r="F350" s="8">
        <v>48.62</v>
      </c>
      <c r="G350" s="10">
        <v>89313300</v>
      </c>
      <c r="H350" t="s">
        <v>82</v>
      </c>
      <c r="I350" t="s">
        <v>16</v>
      </c>
    </row>
    <row r="351" spans="1:9" x14ac:dyDescent="0.2">
      <c r="A351" s="9">
        <v>44470</v>
      </c>
      <c r="B351" s="8">
        <v>59.1</v>
      </c>
      <c r="C351" s="8">
        <v>64.92</v>
      </c>
      <c r="D351" s="8">
        <v>58.46</v>
      </c>
      <c r="E351" s="8">
        <v>63.47</v>
      </c>
      <c r="F351" s="8">
        <v>52.03</v>
      </c>
      <c r="G351" s="10">
        <v>87166100</v>
      </c>
      <c r="H351" t="s">
        <v>82</v>
      </c>
      <c r="I351" t="s">
        <v>16</v>
      </c>
    </row>
    <row r="352" spans="1:9" x14ac:dyDescent="0.2">
      <c r="A352" s="9">
        <v>44440</v>
      </c>
      <c r="B352" s="8">
        <v>57.4</v>
      </c>
      <c r="C352" s="8">
        <v>60.74</v>
      </c>
      <c r="D352" s="8">
        <v>52.63</v>
      </c>
      <c r="E352" s="8">
        <v>58.65</v>
      </c>
      <c r="F352" s="8">
        <v>48.08</v>
      </c>
      <c r="G352" s="10">
        <v>119053400</v>
      </c>
      <c r="H352" t="s">
        <v>82</v>
      </c>
      <c r="I352" t="s">
        <v>16</v>
      </c>
    </row>
    <row r="353" spans="1:9" x14ac:dyDescent="0.2">
      <c r="A353" s="9">
        <v>44409</v>
      </c>
      <c r="B353" s="8">
        <v>54.73</v>
      </c>
      <c r="C353" s="8">
        <v>58.94</v>
      </c>
      <c r="D353" s="8">
        <v>53.25</v>
      </c>
      <c r="E353" s="8">
        <v>57.06</v>
      </c>
      <c r="F353" s="8">
        <v>46.39</v>
      </c>
      <c r="G353" s="10">
        <v>87183500</v>
      </c>
      <c r="H353" t="s">
        <v>82</v>
      </c>
      <c r="I353" t="s">
        <v>16</v>
      </c>
    </row>
    <row r="354" spans="1:9" x14ac:dyDescent="0.2">
      <c r="A354" s="9">
        <v>44378</v>
      </c>
      <c r="B354" s="8">
        <v>55.83</v>
      </c>
      <c r="C354" s="8">
        <v>56.33</v>
      </c>
      <c r="D354" s="8">
        <v>51.87</v>
      </c>
      <c r="E354" s="8">
        <v>54.43</v>
      </c>
      <c r="F354" s="8">
        <v>44.26</v>
      </c>
      <c r="G354" s="10">
        <v>101484500</v>
      </c>
      <c r="H354" t="s">
        <v>82</v>
      </c>
      <c r="I354" t="s">
        <v>16</v>
      </c>
    </row>
    <row r="355" spans="1:9" x14ac:dyDescent="0.2">
      <c r="A355" s="9">
        <v>44348</v>
      </c>
      <c r="B355" s="8">
        <v>62.2</v>
      </c>
      <c r="C355" s="8">
        <v>62.59</v>
      </c>
      <c r="D355" s="8">
        <v>52.61</v>
      </c>
      <c r="E355" s="8">
        <v>55.5</v>
      </c>
      <c r="F355" s="8">
        <v>45.13</v>
      </c>
      <c r="G355" s="10">
        <v>131368100</v>
      </c>
      <c r="H355" t="s">
        <v>82</v>
      </c>
      <c r="I355" t="s">
        <v>16</v>
      </c>
    </row>
    <row r="356" spans="1:9" x14ac:dyDescent="0.2">
      <c r="A356" s="9">
        <v>44317</v>
      </c>
      <c r="B356" s="8">
        <v>60.01</v>
      </c>
      <c r="C356" s="8">
        <v>62.69</v>
      </c>
      <c r="D356" s="8">
        <v>58.27</v>
      </c>
      <c r="E356" s="8">
        <v>61.78</v>
      </c>
      <c r="F356" s="8">
        <v>49.85</v>
      </c>
      <c r="G356" s="10">
        <v>112079400</v>
      </c>
      <c r="H356" t="s">
        <v>82</v>
      </c>
      <c r="I356" t="s">
        <v>16</v>
      </c>
    </row>
    <row r="357" spans="1:9" x14ac:dyDescent="0.2">
      <c r="A357" s="9">
        <v>44287</v>
      </c>
      <c r="B357" s="8">
        <v>58.3</v>
      </c>
      <c r="C357" s="8">
        <v>60.42</v>
      </c>
      <c r="D357" s="8">
        <v>55.16</v>
      </c>
      <c r="E357" s="8">
        <v>59.31</v>
      </c>
      <c r="F357" s="8">
        <v>47.86</v>
      </c>
      <c r="G357" s="10">
        <v>108724400</v>
      </c>
      <c r="H357" t="s">
        <v>82</v>
      </c>
      <c r="I357" t="s">
        <v>16</v>
      </c>
    </row>
    <row r="358" spans="1:9" x14ac:dyDescent="0.2">
      <c r="A358" s="9">
        <v>44256</v>
      </c>
      <c r="B358" s="8">
        <v>58.26</v>
      </c>
      <c r="C358" s="8">
        <v>60.91</v>
      </c>
      <c r="D358" s="8">
        <v>55.28</v>
      </c>
      <c r="E358" s="8">
        <v>58.32</v>
      </c>
      <c r="F358" s="8">
        <v>47.06</v>
      </c>
      <c r="G358" s="10">
        <v>151285500</v>
      </c>
      <c r="H358" t="s">
        <v>82</v>
      </c>
      <c r="I358" t="s">
        <v>16</v>
      </c>
    </row>
    <row r="359" spans="1:9" x14ac:dyDescent="0.2">
      <c r="A359" s="9">
        <v>44228</v>
      </c>
      <c r="B359" s="8">
        <v>48.31</v>
      </c>
      <c r="C359" s="8">
        <v>61.26</v>
      </c>
      <c r="D359" s="8">
        <v>47.71</v>
      </c>
      <c r="E359" s="8">
        <v>56.96</v>
      </c>
      <c r="F359" s="8">
        <v>45.58</v>
      </c>
      <c r="G359" s="10">
        <v>111698400</v>
      </c>
      <c r="H359" t="s">
        <v>82</v>
      </c>
      <c r="I359" t="s">
        <v>16</v>
      </c>
    </row>
    <row r="360" spans="1:9" x14ac:dyDescent="0.2">
      <c r="A360" s="9">
        <v>44197</v>
      </c>
      <c r="B360" s="8">
        <v>48.25</v>
      </c>
      <c r="C360" s="8">
        <v>53.49</v>
      </c>
      <c r="D360" s="8">
        <v>46.71</v>
      </c>
      <c r="E360" s="8">
        <v>47.98</v>
      </c>
      <c r="F360" s="8">
        <v>38.39</v>
      </c>
      <c r="G360" s="10">
        <v>114817700</v>
      </c>
      <c r="H360" t="s">
        <v>82</v>
      </c>
      <c r="I360" t="s">
        <v>16</v>
      </c>
    </row>
    <row r="361" spans="1:9" ht="18" x14ac:dyDescent="0.2">
      <c r="A361" s="5">
        <v>44166</v>
      </c>
      <c r="B361" s="6">
        <v>47.85</v>
      </c>
      <c r="C361" s="6">
        <v>48.32</v>
      </c>
      <c r="D361" s="6">
        <v>45.44</v>
      </c>
      <c r="E361" s="6">
        <v>47.93</v>
      </c>
      <c r="F361" s="6">
        <v>38.35</v>
      </c>
      <c r="G361" s="7">
        <v>115593800</v>
      </c>
      <c r="H361" t="s">
        <v>82</v>
      </c>
      <c r="I361" t="s">
        <v>16</v>
      </c>
    </row>
    <row r="362" spans="1:9" ht="18" x14ac:dyDescent="0.2">
      <c r="A362" s="5">
        <v>45962</v>
      </c>
      <c r="B362" s="6">
        <v>76.739999999999995</v>
      </c>
      <c r="C362" s="6">
        <v>81.709999999999994</v>
      </c>
      <c r="D362" s="6">
        <v>75.02</v>
      </c>
      <c r="E362" s="6">
        <v>78.16</v>
      </c>
      <c r="F362" s="6">
        <v>77.75</v>
      </c>
      <c r="G362" s="7">
        <v>8090900</v>
      </c>
      <c r="H362" t="s">
        <v>83</v>
      </c>
      <c r="I362" t="s">
        <v>17</v>
      </c>
    </row>
    <row r="363" spans="1:9" ht="18" x14ac:dyDescent="0.2">
      <c r="A363" s="5">
        <v>45931</v>
      </c>
      <c r="B363" s="6">
        <v>86.47</v>
      </c>
      <c r="C363" s="6">
        <v>89.23</v>
      </c>
      <c r="D363" s="6">
        <v>68.61</v>
      </c>
      <c r="E363" s="6">
        <v>77.349999999999994</v>
      </c>
      <c r="F363" s="6">
        <v>76.95</v>
      </c>
      <c r="G363" s="7">
        <v>41861900</v>
      </c>
      <c r="H363" t="s">
        <v>83</v>
      </c>
      <c r="I363" t="s">
        <v>17</v>
      </c>
    </row>
    <row r="364" spans="1:9" ht="18" x14ac:dyDescent="0.2">
      <c r="A364" s="5">
        <v>45901</v>
      </c>
      <c r="B364" s="6">
        <v>87.87</v>
      </c>
      <c r="C364" s="6">
        <v>93.29</v>
      </c>
      <c r="D364" s="6">
        <v>84.87</v>
      </c>
      <c r="E364" s="6">
        <v>86.72</v>
      </c>
      <c r="F364" s="6">
        <v>86.27</v>
      </c>
      <c r="G364" s="7">
        <v>24006500</v>
      </c>
      <c r="H364" t="s">
        <v>83</v>
      </c>
      <c r="I364" t="s">
        <v>17</v>
      </c>
    </row>
    <row r="365" spans="1:9" ht="18" x14ac:dyDescent="0.2">
      <c r="A365" s="5">
        <v>45870</v>
      </c>
      <c r="B365" s="6">
        <v>75.81</v>
      </c>
      <c r="C365" s="6">
        <v>89.99</v>
      </c>
      <c r="D365" s="6">
        <v>73.58</v>
      </c>
      <c r="E365" s="6">
        <v>89.55</v>
      </c>
      <c r="F365" s="6">
        <v>88.68</v>
      </c>
      <c r="G365" s="7">
        <v>20009100</v>
      </c>
      <c r="H365" t="s">
        <v>83</v>
      </c>
      <c r="I365" t="s">
        <v>17</v>
      </c>
    </row>
    <row r="366" spans="1:9" ht="18" x14ac:dyDescent="0.2">
      <c r="A366" s="5">
        <v>45839</v>
      </c>
      <c r="B366" s="6">
        <v>77.77</v>
      </c>
      <c r="C366" s="6">
        <v>86.28</v>
      </c>
      <c r="D366" s="6">
        <v>77.02</v>
      </c>
      <c r="E366" s="6">
        <v>77.56</v>
      </c>
      <c r="F366" s="6">
        <v>76.81</v>
      </c>
      <c r="G366" s="7">
        <v>25232200</v>
      </c>
      <c r="H366" t="s">
        <v>83</v>
      </c>
      <c r="I366" t="s">
        <v>17</v>
      </c>
    </row>
    <row r="367" spans="1:9" ht="18" x14ac:dyDescent="0.2">
      <c r="A367" s="5">
        <v>45809</v>
      </c>
      <c r="B367" s="6">
        <v>71.930000000000007</v>
      </c>
      <c r="C367" s="6">
        <v>78.849999999999994</v>
      </c>
      <c r="D367" s="6">
        <v>70.260000000000005</v>
      </c>
      <c r="E367" s="6">
        <v>77.98</v>
      </c>
      <c r="F367" s="6">
        <v>77.22</v>
      </c>
      <c r="G367" s="7">
        <v>14434400</v>
      </c>
      <c r="H367" t="s">
        <v>83</v>
      </c>
      <c r="I367" t="s">
        <v>17</v>
      </c>
    </row>
    <row r="368" spans="1:9" ht="18" x14ac:dyDescent="0.2">
      <c r="A368" s="5">
        <v>45778</v>
      </c>
      <c r="B368" s="6">
        <v>69.819999999999993</v>
      </c>
      <c r="C368" s="6">
        <v>80.989999999999995</v>
      </c>
      <c r="D368" s="6">
        <v>69.33</v>
      </c>
      <c r="E368" s="6">
        <v>72.41</v>
      </c>
      <c r="F368" s="6">
        <v>71.37</v>
      </c>
      <c r="G368" s="7">
        <v>18234100</v>
      </c>
      <c r="H368" t="s">
        <v>83</v>
      </c>
      <c r="I368" t="s">
        <v>17</v>
      </c>
    </row>
    <row r="369" spans="1:9" ht="18" x14ac:dyDescent="0.2">
      <c r="A369" s="5">
        <v>45748</v>
      </c>
      <c r="B369" s="6">
        <v>76.010000000000005</v>
      </c>
      <c r="C369" s="6">
        <v>77.73</v>
      </c>
      <c r="D369" s="6">
        <v>57.05</v>
      </c>
      <c r="E369" s="6">
        <v>69.709999999999994</v>
      </c>
      <c r="F369" s="6">
        <v>68.709999999999994</v>
      </c>
      <c r="G369" s="7">
        <v>34232800</v>
      </c>
      <c r="H369" t="s">
        <v>83</v>
      </c>
      <c r="I369" t="s">
        <v>17</v>
      </c>
    </row>
    <row r="370" spans="1:9" ht="18" x14ac:dyDescent="0.2">
      <c r="A370" s="5">
        <v>45717</v>
      </c>
      <c r="B370" s="6">
        <v>86.73</v>
      </c>
      <c r="C370" s="6">
        <v>87.68</v>
      </c>
      <c r="D370" s="6">
        <v>71.58</v>
      </c>
      <c r="E370" s="6">
        <v>76.83</v>
      </c>
      <c r="F370" s="6">
        <v>75.72</v>
      </c>
      <c r="G370" s="7">
        <v>23343300</v>
      </c>
      <c r="H370" t="s">
        <v>83</v>
      </c>
      <c r="I370" t="s">
        <v>17</v>
      </c>
    </row>
    <row r="371" spans="1:9" ht="18" x14ac:dyDescent="0.2">
      <c r="A371" s="5">
        <v>45689</v>
      </c>
      <c r="B371" s="6">
        <v>85.01</v>
      </c>
      <c r="C371" s="6">
        <v>93.81</v>
      </c>
      <c r="D371" s="6">
        <v>83.95</v>
      </c>
      <c r="E371" s="6">
        <v>86.92</v>
      </c>
      <c r="F371" s="6">
        <v>85.3</v>
      </c>
      <c r="G371" s="7">
        <v>20062400</v>
      </c>
      <c r="H371" t="s">
        <v>83</v>
      </c>
      <c r="I371" t="s">
        <v>17</v>
      </c>
    </row>
    <row r="372" spans="1:9" ht="18" x14ac:dyDescent="0.2">
      <c r="A372" s="5">
        <v>45658</v>
      </c>
      <c r="B372" s="6">
        <v>84.21</v>
      </c>
      <c r="C372" s="6">
        <v>94.4</v>
      </c>
      <c r="D372" s="6">
        <v>77.12</v>
      </c>
      <c r="E372" s="6">
        <v>87.87</v>
      </c>
      <c r="F372" s="6">
        <v>86.23</v>
      </c>
      <c r="G372" s="7">
        <v>26912000</v>
      </c>
      <c r="H372" t="s">
        <v>83</v>
      </c>
      <c r="I372" t="s">
        <v>17</v>
      </c>
    </row>
    <row r="373" spans="1:9" ht="18" x14ac:dyDescent="0.2">
      <c r="A373" s="5">
        <v>45627</v>
      </c>
      <c r="B373" s="6">
        <v>94.2</v>
      </c>
      <c r="C373" s="6">
        <v>95</v>
      </c>
      <c r="D373" s="6">
        <v>82.01</v>
      </c>
      <c r="E373" s="6">
        <v>83.54</v>
      </c>
      <c r="F373" s="6">
        <v>81.98</v>
      </c>
      <c r="G373" s="7">
        <v>19616500</v>
      </c>
      <c r="H373" t="s">
        <v>83</v>
      </c>
      <c r="I373" t="s">
        <v>17</v>
      </c>
    </row>
    <row r="374" spans="1:9" ht="18" x14ac:dyDescent="0.2">
      <c r="A374" s="5">
        <v>45597</v>
      </c>
      <c r="B374" s="6">
        <v>84.19</v>
      </c>
      <c r="C374" s="6">
        <v>98.1</v>
      </c>
      <c r="D374" s="6">
        <v>80.88</v>
      </c>
      <c r="E374" s="6">
        <v>93.61</v>
      </c>
      <c r="F374" s="6">
        <v>91.48</v>
      </c>
      <c r="G374" s="7">
        <v>20901100</v>
      </c>
      <c r="H374" t="s">
        <v>83</v>
      </c>
      <c r="I374" t="s">
        <v>17</v>
      </c>
    </row>
    <row r="375" spans="1:9" ht="18" x14ac:dyDescent="0.2">
      <c r="A375" s="5">
        <v>45566</v>
      </c>
      <c r="B375" s="6">
        <v>85.03</v>
      </c>
      <c r="C375" s="6">
        <v>94.28</v>
      </c>
      <c r="D375" s="6">
        <v>80.28</v>
      </c>
      <c r="E375" s="6">
        <v>83.21</v>
      </c>
      <c r="F375" s="6">
        <v>81.319999999999993</v>
      </c>
      <c r="G375" s="7">
        <v>31694600</v>
      </c>
      <c r="H375" t="s">
        <v>83</v>
      </c>
      <c r="I375" t="s">
        <v>17</v>
      </c>
    </row>
    <row r="376" spans="1:9" ht="18" x14ac:dyDescent="0.2">
      <c r="A376" s="5">
        <v>45536</v>
      </c>
      <c r="B376" s="6">
        <v>80.489999999999995</v>
      </c>
      <c r="C376" s="6">
        <v>88.92</v>
      </c>
      <c r="D376" s="6">
        <v>77.260000000000005</v>
      </c>
      <c r="E376" s="6">
        <v>86.49</v>
      </c>
      <c r="F376" s="6">
        <v>84.52</v>
      </c>
      <c r="G376" s="7">
        <v>44643200</v>
      </c>
      <c r="H376" t="s">
        <v>83</v>
      </c>
      <c r="I376" t="s">
        <v>17</v>
      </c>
    </row>
    <row r="377" spans="1:9" ht="18" x14ac:dyDescent="0.2">
      <c r="A377" s="5">
        <v>45505</v>
      </c>
      <c r="B377" s="6">
        <v>80.069999999999993</v>
      </c>
      <c r="C377" s="6">
        <v>83.23</v>
      </c>
      <c r="D377" s="6">
        <v>67.08</v>
      </c>
      <c r="E377" s="6">
        <v>81.680000000000007</v>
      </c>
      <c r="F377" s="6">
        <v>79.44</v>
      </c>
      <c r="G377" s="7">
        <v>20530200</v>
      </c>
      <c r="H377" t="s">
        <v>83</v>
      </c>
      <c r="I377" t="s">
        <v>17</v>
      </c>
    </row>
    <row r="378" spans="1:9" ht="18" x14ac:dyDescent="0.2">
      <c r="A378" s="5">
        <v>45474</v>
      </c>
      <c r="B378" s="6">
        <v>62.45</v>
      </c>
      <c r="C378" s="6">
        <v>82.48</v>
      </c>
      <c r="D378" s="6">
        <v>60.26</v>
      </c>
      <c r="E378" s="6">
        <v>80.459999999999994</v>
      </c>
      <c r="F378" s="6">
        <v>78.25</v>
      </c>
      <c r="G378" s="7">
        <v>29315800</v>
      </c>
      <c r="H378" t="s">
        <v>83</v>
      </c>
      <c r="I378" t="s">
        <v>17</v>
      </c>
    </row>
    <row r="379" spans="1:9" ht="18" x14ac:dyDescent="0.2">
      <c r="A379" s="5">
        <v>45444</v>
      </c>
      <c r="B379" s="6">
        <v>63.47</v>
      </c>
      <c r="C379" s="6">
        <v>63.5</v>
      </c>
      <c r="D379" s="6">
        <v>56.7</v>
      </c>
      <c r="E379" s="6">
        <v>62.82</v>
      </c>
      <c r="F379" s="6">
        <v>61.1</v>
      </c>
      <c r="G379" s="7">
        <v>16743000</v>
      </c>
      <c r="H379" t="s">
        <v>83</v>
      </c>
      <c r="I379" t="s">
        <v>17</v>
      </c>
    </row>
    <row r="380" spans="1:9" ht="18" x14ac:dyDescent="0.2">
      <c r="A380" s="5">
        <v>45413</v>
      </c>
      <c r="B380" s="6">
        <v>57.54</v>
      </c>
      <c r="C380" s="6">
        <v>65.790000000000006</v>
      </c>
      <c r="D380" s="6">
        <v>56.77</v>
      </c>
      <c r="E380" s="6">
        <v>63.03</v>
      </c>
      <c r="F380" s="6">
        <v>60.95</v>
      </c>
      <c r="G380" s="7">
        <v>16461300</v>
      </c>
      <c r="H380" t="s">
        <v>83</v>
      </c>
      <c r="I380" t="s">
        <v>17</v>
      </c>
    </row>
    <row r="381" spans="1:9" ht="18" x14ac:dyDescent="0.2">
      <c r="A381" s="5">
        <v>45383</v>
      </c>
      <c r="B381" s="6">
        <v>64.12</v>
      </c>
      <c r="C381" s="6">
        <v>64.2</v>
      </c>
      <c r="D381" s="6">
        <v>53.75</v>
      </c>
      <c r="E381" s="6">
        <v>56.83</v>
      </c>
      <c r="F381" s="6">
        <v>54.95</v>
      </c>
      <c r="G381" s="7">
        <v>22938900</v>
      </c>
      <c r="H381" t="s">
        <v>83</v>
      </c>
      <c r="I381" t="s">
        <v>17</v>
      </c>
    </row>
    <row r="382" spans="1:9" ht="18" x14ac:dyDescent="0.2">
      <c r="A382" s="5">
        <v>45352</v>
      </c>
      <c r="B382" s="6">
        <v>57.04</v>
      </c>
      <c r="C382" s="6">
        <v>64.650000000000006</v>
      </c>
      <c r="D382" s="6">
        <v>54.55</v>
      </c>
      <c r="E382" s="6">
        <v>64.19</v>
      </c>
      <c r="F382" s="6">
        <v>62.07</v>
      </c>
      <c r="G382" s="7">
        <v>29214000</v>
      </c>
      <c r="H382" t="s">
        <v>83</v>
      </c>
      <c r="I382" t="s">
        <v>17</v>
      </c>
    </row>
    <row r="383" spans="1:9" ht="18" x14ac:dyDescent="0.2">
      <c r="A383" s="5">
        <v>45323</v>
      </c>
      <c r="B383" s="6">
        <v>64.62</v>
      </c>
      <c r="C383" s="6">
        <v>65.05</v>
      </c>
      <c r="D383" s="6">
        <v>55.03</v>
      </c>
      <c r="E383" s="6">
        <v>57.73</v>
      </c>
      <c r="F383" s="6">
        <v>55.48</v>
      </c>
      <c r="G383" s="7">
        <v>35969000</v>
      </c>
      <c r="H383" t="s">
        <v>83</v>
      </c>
      <c r="I383" t="s">
        <v>17</v>
      </c>
    </row>
    <row r="384" spans="1:9" ht="18" x14ac:dyDescent="0.2">
      <c r="A384" s="5">
        <v>45292</v>
      </c>
      <c r="B384" s="6">
        <v>65.099999999999994</v>
      </c>
      <c r="C384" s="6">
        <v>70.23</v>
      </c>
      <c r="D384" s="6">
        <v>60.54</v>
      </c>
      <c r="E384" s="6">
        <v>63.96</v>
      </c>
      <c r="F384" s="6">
        <v>61.47</v>
      </c>
      <c r="G384" s="7">
        <v>29918600</v>
      </c>
      <c r="H384" t="s">
        <v>83</v>
      </c>
      <c r="I384" t="s">
        <v>17</v>
      </c>
    </row>
    <row r="385" spans="1:9" ht="18" x14ac:dyDescent="0.2">
      <c r="A385" s="5">
        <v>45261</v>
      </c>
      <c r="B385" s="6">
        <v>51.22</v>
      </c>
      <c r="C385" s="6">
        <v>67.599999999999994</v>
      </c>
      <c r="D385" s="6">
        <v>50.63</v>
      </c>
      <c r="E385" s="6">
        <v>65.790000000000006</v>
      </c>
      <c r="F385" s="6">
        <v>63.22</v>
      </c>
      <c r="G385" s="7">
        <v>30684500</v>
      </c>
      <c r="H385" t="s">
        <v>83</v>
      </c>
      <c r="I385" t="s">
        <v>17</v>
      </c>
    </row>
    <row r="386" spans="1:9" ht="18" x14ac:dyDescent="0.2">
      <c r="A386" s="5">
        <v>45231</v>
      </c>
      <c r="B386" s="6">
        <v>41</v>
      </c>
      <c r="C386" s="6">
        <v>52.16</v>
      </c>
      <c r="D386" s="6">
        <v>40.15</v>
      </c>
      <c r="E386" s="6">
        <v>51.22</v>
      </c>
      <c r="F386" s="6">
        <v>48.85</v>
      </c>
      <c r="G386" s="7">
        <v>27821500</v>
      </c>
      <c r="H386" t="s">
        <v>83</v>
      </c>
      <c r="I386" t="s">
        <v>17</v>
      </c>
    </row>
    <row r="387" spans="1:9" ht="18" x14ac:dyDescent="0.2">
      <c r="A387" s="5">
        <v>45200</v>
      </c>
      <c r="B387" s="6">
        <v>45.73</v>
      </c>
      <c r="C387" s="6">
        <v>48.41</v>
      </c>
      <c r="D387" s="6">
        <v>38.81</v>
      </c>
      <c r="E387" s="6">
        <v>41.1</v>
      </c>
      <c r="F387" s="6">
        <v>39.200000000000003</v>
      </c>
      <c r="G387" s="7">
        <v>42262400</v>
      </c>
      <c r="H387" t="s">
        <v>83</v>
      </c>
      <c r="I387" t="s">
        <v>17</v>
      </c>
    </row>
    <row r="388" spans="1:9" ht="18" x14ac:dyDescent="0.2">
      <c r="A388" s="5">
        <v>45170</v>
      </c>
      <c r="B388" s="6">
        <v>50.78</v>
      </c>
      <c r="C388" s="6">
        <v>51.4</v>
      </c>
      <c r="D388" s="6">
        <v>43.36</v>
      </c>
      <c r="E388" s="6">
        <v>45.97</v>
      </c>
      <c r="F388" s="6">
        <v>43.84</v>
      </c>
      <c r="G388" s="7">
        <v>29559800</v>
      </c>
      <c r="H388" t="s">
        <v>83</v>
      </c>
      <c r="I388" t="s">
        <v>17</v>
      </c>
    </row>
    <row r="389" spans="1:9" ht="18" x14ac:dyDescent="0.2">
      <c r="A389" s="5">
        <v>45139</v>
      </c>
      <c r="B389" s="6">
        <v>51.5</v>
      </c>
      <c r="C389" s="6">
        <v>53.87</v>
      </c>
      <c r="D389" s="6">
        <v>46.15</v>
      </c>
      <c r="E389" s="6">
        <v>50.01</v>
      </c>
      <c r="F389" s="6">
        <v>47.36</v>
      </c>
      <c r="G389" s="7">
        <v>36151700</v>
      </c>
      <c r="H389" t="s">
        <v>83</v>
      </c>
      <c r="I389" t="s">
        <v>17</v>
      </c>
    </row>
    <row r="390" spans="1:9" ht="18" x14ac:dyDescent="0.2">
      <c r="A390" s="5">
        <v>45108</v>
      </c>
      <c r="B390" s="6">
        <v>36.950000000000003</v>
      </c>
      <c r="C390" s="6">
        <v>53.66</v>
      </c>
      <c r="D390" s="6">
        <v>35.67</v>
      </c>
      <c r="E390" s="6">
        <v>51.95</v>
      </c>
      <c r="F390" s="6">
        <v>49.2</v>
      </c>
      <c r="G390" s="7">
        <v>64549600</v>
      </c>
      <c r="H390" t="s">
        <v>83</v>
      </c>
      <c r="I390" t="s">
        <v>17</v>
      </c>
    </row>
    <row r="391" spans="1:9" ht="18" x14ac:dyDescent="0.2">
      <c r="A391" s="5">
        <v>45078</v>
      </c>
      <c r="B391" s="6">
        <v>34.39</v>
      </c>
      <c r="C391" s="6">
        <v>41.88</v>
      </c>
      <c r="D391" s="6">
        <v>33.49</v>
      </c>
      <c r="E391" s="6">
        <v>36.47</v>
      </c>
      <c r="F391" s="6">
        <v>34.54</v>
      </c>
      <c r="G391" s="7">
        <v>64739000</v>
      </c>
      <c r="H391" t="s">
        <v>83</v>
      </c>
      <c r="I391" t="s">
        <v>17</v>
      </c>
    </row>
    <row r="392" spans="1:9" ht="18" x14ac:dyDescent="0.2">
      <c r="A392" s="5">
        <v>45047</v>
      </c>
      <c r="B392" s="6">
        <v>37.549999999999997</v>
      </c>
      <c r="C392" s="6">
        <v>39.28</v>
      </c>
      <c r="D392" s="6">
        <v>11.35</v>
      </c>
      <c r="E392" s="6">
        <v>33.9</v>
      </c>
      <c r="F392" s="6">
        <v>31.68</v>
      </c>
      <c r="G392" s="7">
        <v>269192000</v>
      </c>
      <c r="H392" t="s">
        <v>83</v>
      </c>
      <c r="I392" t="s">
        <v>17</v>
      </c>
    </row>
    <row r="393" spans="1:9" ht="18" x14ac:dyDescent="0.2">
      <c r="A393" s="5">
        <v>45017</v>
      </c>
      <c r="B393" s="6">
        <v>35.49</v>
      </c>
      <c r="C393" s="6">
        <v>41.51</v>
      </c>
      <c r="D393" s="6">
        <v>27.02</v>
      </c>
      <c r="E393" s="6">
        <v>37.119999999999997</v>
      </c>
      <c r="F393" s="6">
        <v>34.69</v>
      </c>
      <c r="G393" s="7">
        <v>113439400</v>
      </c>
      <c r="H393" t="s">
        <v>83</v>
      </c>
      <c r="I393" t="s">
        <v>17</v>
      </c>
    </row>
    <row r="394" spans="1:9" ht="18" x14ac:dyDescent="0.2">
      <c r="A394" s="5">
        <v>44986</v>
      </c>
      <c r="B394" s="6">
        <v>73.45</v>
      </c>
      <c r="C394" s="6">
        <v>76.900000000000006</v>
      </c>
      <c r="D394" s="6">
        <v>7.46</v>
      </c>
      <c r="E394" s="6">
        <v>35.54</v>
      </c>
      <c r="F394" s="6">
        <v>33.22</v>
      </c>
      <c r="G394" s="7">
        <v>344007000</v>
      </c>
      <c r="H394" t="s">
        <v>83</v>
      </c>
      <c r="I394" t="s">
        <v>17</v>
      </c>
    </row>
    <row r="395" spans="1:9" ht="18" x14ac:dyDescent="0.2">
      <c r="A395" s="5">
        <v>44958</v>
      </c>
      <c r="B395" s="6">
        <v>74.849999999999994</v>
      </c>
      <c r="C395" s="6">
        <v>81.17</v>
      </c>
      <c r="D395" s="6">
        <v>71.400000000000006</v>
      </c>
      <c r="E395" s="6">
        <v>74.239999999999995</v>
      </c>
      <c r="F395" s="6">
        <v>69.06</v>
      </c>
      <c r="G395" s="7">
        <v>16645300</v>
      </c>
      <c r="H395" t="s">
        <v>83</v>
      </c>
      <c r="I395" t="s">
        <v>17</v>
      </c>
    </row>
    <row r="396" spans="1:9" ht="18" x14ac:dyDescent="0.2">
      <c r="A396" s="5">
        <v>44927</v>
      </c>
      <c r="B396" s="6">
        <v>59.87</v>
      </c>
      <c r="C396" s="6">
        <v>75.540000000000006</v>
      </c>
      <c r="D396" s="6">
        <v>58.35</v>
      </c>
      <c r="E396" s="6">
        <v>75.37</v>
      </c>
      <c r="F396" s="6">
        <v>70.11</v>
      </c>
      <c r="G396" s="7">
        <v>20053700</v>
      </c>
      <c r="H396" t="s">
        <v>83</v>
      </c>
      <c r="I396" t="s">
        <v>17</v>
      </c>
    </row>
    <row r="397" spans="1:9" ht="18" x14ac:dyDescent="0.2">
      <c r="A397" s="5">
        <v>44896</v>
      </c>
      <c r="B397" s="6">
        <v>68.569999999999993</v>
      </c>
      <c r="C397" s="6">
        <v>69.680000000000007</v>
      </c>
      <c r="D397" s="6">
        <v>55.81</v>
      </c>
      <c r="E397" s="6">
        <v>59.56</v>
      </c>
      <c r="F397" s="6">
        <v>55.4</v>
      </c>
      <c r="G397" s="7">
        <v>20406400</v>
      </c>
      <c r="H397" t="s">
        <v>83</v>
      </c>
      <c r="I397" t="s">
        <v>17</v>
      </c>
    </row>
    <row r="398" spans="1:9" ht="18" x14ac:dyDescent="0.2">
      <c r="A398" s="5">
        <v>44866</v>
      </c>
      <c r="B398" s="6">
        <v>68.09</v>
      </c>
      <c r="C398" s="6">
        <v>78.14</v>
      </c>
      <c r="D398" s="6">
        <v>62.84</v>
      </c>
      <c r="E398" s="6">
        <v>68.540000000000006</v>
      </c>
      <c r="F398" s="6">
        <v>63.44</v>
      </c>
      <c r="G398" s="7">
        <v>14758800</v>
      </c>
      <c r="H398" t="s">
        <v>83</v>
      </c>
      <c r="I398" t="s">
        <v>17</v>
      </c>
    </row>
    <row r="399" spans="1:9" ht="18" x14ac:dyDescent="0.2">
      <c r="A399" s="5">
        <v>44835</v>
      </c>
      <c r="B399" s="6">
        <v>66.83</v>
      </c>
      <c r="C399" s="6">
        <v>71.900000000000006</v>
      </c>
      <c r="D399" s="6">
        <v>54.86</v>
      </c>
      <c r="E399" s="6">
        <v>67.17</v>
      </c>
      <c r="F399" s="6">
        <v>62.17</v>
      </c>
      <c r="G399" s="7">
        <v>23454800</v>
      </c>
      <c r="H399" t="s">
        <v>83</v>
      </c>
      <c r="I399" t="s">
        <v>17</v>
      </c>
    </row>
    <row r="400" spans="1:9" ht="18" x14ac:dyDescent="0.2">
      <c r="A400" s="5">
        <v>44805</v>
      </c>
      <c r="B400" s="6">
        <v>76.319999999999993</v>
      </c>
      <c r="C400" s="6">
        <v>81.010000000000005</v>
      </c>
      <c r="D400" s="6">
        <v>64.709999999999994</v>
      </c>
      <c r="E400" s="6">
        <v>65.739999999999995</v>
      </c>
      <c r="F400" s="6">
        <v>60.85</v>
      </c>
      <c r="G400" s="7">
        <v>16010700</v>
      </c>
      <c r="H400" t="s">
        <v>83</v>
      </c>
      <c r="I400" t="s">
        <v>17</v>
      </c>
    </row>
    <row r="401" spans="1:9" ht="18" x14ac:dyDescent="0.2">
      <c r="A401" s="5">
        <v>44774</v>
      </c>
      <c r="B401" s="6">
        <v>75.930000000000007</v>
      </c>
      <c r="C401" s="6">
        <v>86.87</v>
      </c>
      <c r="D401" s="6">
        <v>74.06</v>
      </c>
      <c r="E401" s="6">
        <v>76.72</v>
      </c>
      <c r="F401" s="6">
        <v>70.7</v>
      </c>
      <c r="G401" s="7">
        <v>10674700</v>
      </c>
      <c r="H401" t="s">
        <v>83</v>
      </c>
      <c r="I401" t="s">
        <v>17</v>
      </c>
    </row>
    <row r="402" spans="1:9" ht="18" x14ac:dyDescent="0.2">
      <c r="A402" s="5">
        <v>44743</v>
      </c>
      <c r="B402" s="6">
        <v>70</v>
      </c>
      <c r="C402" s="6">
        <v>79.67</v>
      </c>
      <c r="D402" s="6">
        <v>68.41</v>
      </c>
      <c r="E402" s="6">
        <v>76.38</v>
      </c>
      <c r="F402" s="6">
        <v>70.39</v>
      </c>
      <c r="G402" s="7">
        <v>12881600</v>
      </c>
      <c r="H402" t="s">
        <v>83</v>
      </c>
      <c r="I402" t="s">
        <v>17</v>
      </c>
    </row>
    <row r="403" spans="1:9" ht="18" x14ac:dyDescent="0.2">
      <c r="A403" s="5">
        <v>44713</v>
      </c>
      <c r="B403" s="6">
        <v>81.790000000000006</v>
      </c>
      <c r="C403" s="6">
        <v>83.22</v>
      </c>
      <c r="D403" s="6">
        <v>68.42</v>
      </c>
      <c r="E403" s="6">
        <v>70.599999999999994</v>
      </c>
      <c r="F403" s="6">
        <v>65.06</v>
      </c>
      <c r="G403" s="7">
        <v>15172000</v>
      </c>
      <c r="H403" t="s">
        <v>83</v>
      </c>
      <c r="I403" t="s">
        <v>17</v>
      </c>
    </row>
    <row r="404" spans="1:9" ht="18" x14ac:dyDescent="0.2">
      <c r="A404" s="5">
        <v>44682</v>
      </c>
      <c r="B404" s="6">
        <v>78.31</v>
      </c>
      <c r="C404" s="6">
        <v>83.39</v>
      </c>
      <c r="D404" s="6">
        <v>71.680000000000007</v>
      </c>
      <c r="E404" s="6">
        <v>81.37</v>
      </c>
      <c r="F404" s="6">
        <v>74.63</v>
      </c>
      <c r="G404" s="7">
        <v>13764100</v>
      </c>
      <c r="H404" t="s">
        <v>83</v>
      </c>
      <c r="I404" t="s">
        <v>17</v>
      </c>
    </row>
    <row r="405" spans="1:9" ht="18" x14ac:dyDescent="0.2">
      <c r="A405" s="5">
        <v>44652</v>
      </c>
      <c r="B405" s="6">
        <v>84.14</v>
      </c>
      <c r="C405" s="6">
        <v>84.76</v>
      </c>
      <c r="D405" s="6">
        <v>73.31</v>
      </c>
      <c r="E405" s="6">
        <v>76.11</v>
      </c>
      <c r="F405" s="6">
        <v>69.8</v>
      </c>
      <c r="G405" s="7">
        <v>21129700</v>
      </c>
      <c r="H405" t="s">
        <v>83</v>
      </c>
      <c r="I405" t="s">
        <v>17</v>
      </c>
    </row>
    <row r="406" spans="1:9" ht="18" x14ac:dyDescent="0.2">
      <c r="A406" s="5">
        <v>44621</v>
      </c>
      <c r="B406" s="6">
        <v>92.21</v>
      </c>
      <c r="C406" s="6">
        <v>93.49</v>
      </c>
      <c r="D406" s="6">
        <v>76.16</v>
      </c>
      <c r="E406" s="6">
        <v>82.82</v>
      </c>
      <c r="F406" s="6">
        <v>75.959999999999994</v>
      </c>
      <c r="G406" s="7">
        <v>23163600</v>
      </c>
      <c r="H406" t="s">
        <v>83</v>
      </c>
      <c r="I406" t="s">
        <v>17</v>
      </c>
    </row>
    <row r="407" spans="1:9" ht="18" x14ac:dyDescent="0.2">
      <c r="A407" s="5">
        <v>44593</v>
      </c>
      <c r="B407" s="6">
        <v>99.97</v>
      </c>
      <c r="C407" s="6">
        <v>102.97</v>
      </c>
      <c r="D407" s="6">
        <v>84.71</v>
      </c>
      <c r="E407" s="6">
        <v>93.74</v>
      </c>
      <c r="F407" s="6">
        <v>85.66</v>
      </c>
      <c r="G407" s="7">
        <v>17723300</v>
      </c>
      <c r="H407" t="s">
        <v>83</v>
      </c>
      <c r="I407" t="s">
        <v>17</v>
      </c>
    </row>
    <row r="408" spans="1:9" ht="18" x14ac:dyDescent="0.2">
      <c r="A408" s="5">
        <v>44562</v>
      </c>
      <c r="B408" s="6">
        <v>108.26</v>
      </c>
      <c r="C408" s="6">
        <v>124.93</v>
      </c>
      <c r="D408" s="6">
        <v>93.42</v>
      </c>
      <c r="E408" s="6">
        <v>99.19</v>
      </c>
      <c r="F408" s="6">
        <v>90.64</v>
      </c>
      <c r="G408" s="7">
        <v>21255200</v>
      </c>
      <c r="H408" t="s">
        <v>83</v>
      </c>
      <c r="I408" t="s">
        <v>17</v>
      </c>
    </row>
    <row r="409" spans="1:9" ht="18" x14ac:dyDescent="0.2">
      <c r="A409" s="5">
        <v>44531</v>
      </c>
      <c r="B409" s="6">
        <v>112.51</v>
      </c>
      <c r="C409" s="6">
        <v>114.8</v>
      </c>
      <c r="D409" s="6">
        <v>96.82</v>
      </c>
      <c r="E409" s="6">
        <v>107.65</v>
      </c>
      <c r="F409" s="6">
        <v>98.38</v>
      </c>
      <c r="G409" s="7">
        <v>17500600</v>
      </c>
      <c r="H409" t="s">
        <v>83</v>
      </c>
      <c r="I409" t="s">
        <v>17</v>
      </c>
    </row>
    <row r="410" spans="1:9" ht="18" x14ac:dyDescent="0.2">
      <c r="A410" s="5">
        <v>44501</v>
      </c>
      <c r="B410" s="6">
        <v>117.03</v>
      </c>
      <c r="C410" s="6">
        <v>123.07</v>
      </c>
      <c r="D410" s="6">
        <v>108.83</v>
      </c>
      <c r="E410" s="6">
        <v>109.78</v>
      </c>
      <c r="F410" s="6">
        <v>100.02</v>
      </c>
      <c r="G410" s="7">
        <v>12253100</v>
      </c>
      <c r="H410" t="s">
        <v>83</v>
      </c>
      <c r="I410" t="s">
        <v>17</v>
      </c>
    </row>
    <row r="411" spans="1:9" ht="18" x14ac:dyDescent="0.2">
      <c r="A411" s="5">
        <v>44470</v>
      </c>
      <c r="B411" s="6">
        <v>109.03</v>
      </c>
      <c r="C411" s="6">
        <v>124.88</v>
      </c>
      <c r="D411" s="6">
        <v>104.56</v>
      </c>
      <c r="E411" s="6">
        <v>116.09</v>
      </c>
      <c r="F411" s="6">
        <v>105.77</v>
      </c>
      <c r="G411" s="7">
        <v>14451600</v>
      </c>
      <c r="H411" t="s">
        <v>83</v>
      </c>
      <c r="I411" t="s">
        <v>17</v>
      </c>
    </row>
    <row r="412" spans="1:9" ht="18" x14ac:dyDescent="0.2">
      <c r="A412" s="5">
        <v>44440</v>
      </c>
      <c r="B412" s="6">
        <v>98.07</v>
      </c>
      <c r="C412" s="6">
        <v>110.51</v>
      </c>
      <c r="D412" s="6">
        <v>94.18</v>
      </c>
      <c r="E412" s="6">
        <v>108.82</v>
      </c>
      <c r="F412" s="6">
        <v>99.15</v>
      </c>
      <c r="G412" s="7">
        <v>12014700</v>
      </c>
      <c r="H412" t="s">
        <v>83</v>
      </c>
      <c r="I412" t="s">
        <v>17</v>
      </c>
    </row>
    <row r="413" spans="1:9" ht="18" x14ac:dyDescent="0.2">
      <c r="A413" s="5">
        <v>44409</v>
      </c>
      <c r="B413" s="6">
        <v>93.48</v>
      </c>
      <c r="C413" s="6">
        <v>102.97</v>
      </c>
      <c r="D413" s="6">
        <v>90.09</v>
      </c>
      <c r="E413" s="6">
        <v>97.56</v>
      </c>
      <c r="F413" s="6">
        <v>88.58</v>
      </c>
      <c r="G413" s="7">
        <v>11457000</v>
      </c>
      <c r="H413" t="s">
        <v>83</v>
      </c>
      <c r="I413" t="s">
        <v>17</v>
      </c>
    </row>
    <row r="414" spans="1:9" ht="18" x14ac:dyDescent="0.2">
      <c r="A414" s="5">
        <v>44378</v>
      </c>
      <c r="B414" s="6">
        <v>93.6</v>
      </c>
      <c r="C414" s="6">
        <v>101</v>
      </c>
      <c r="D414" s="6">
        <v>89.69</v>
      </c>
      <c r="E414" s="6">
        <v>92.82</v>
      </c>
      <c r="F414" s="6">
        <v>84.28</v>
      </c>
      <c r="G414" s="7">
        <v>14184100</v>
      </c>
      <c r="H414" t="s">
        <v>83</v>
      </c>
      <c r="I414" t="s">
        <v>17</v>
      </c>
    </row>
    <row r="415" spans="1:9" ht="18" x14ac:dyDescent="0.2">
      <c r="A415" s="5">
        <v>44348</v>
      </c>
      <c r="B415" s="6">
        <v>101.09</v>
      </c>
      <c r="C415" s="6">
        <v>103.92</v>
      </c>
      <c r="D415" s="6">
        <v>87.77</v>
      </c>
      <c r="E415" s="6">
        <v>92.85</v>
      </c>
      <c r="F415" s="6">
        <v>84.31</v>
      </c>
      <c r="G415" s="7">
        <v>19178700</v>
      </c>
      <c r="H415" t="s">
        <v>83</v>
      </c>
      <c r="I415" t="s">
        <v>17</v>
      </c>
    </row>
    <row r="416" spans="1:9" ht="18" x14ac:dyDescent="0.2">
      <c r="A416" s="5">
        <v>44317</v>
      </c>
      <c r="B416" s="6">
        <v>106.67</v>
      </c>
      <c r="C416" s="6">
        <v>108.91</v>
      </c>
      <c r="D416" s="6">
        <v>95.16</v>
      </c>
      <c r="E416" s="6">
        <v>100.01</v>
      </c>
      <c r="F416" s="6">
        <v>90.58</v>
      </c>
      <c r="G416" s="7">
        <v>13804600</v>
      </c>
      <c r="H416" t="s">
        <v>83</v>
      </c>
      <c r="I416" t="s">
        <v>17</v>
      </c>
    </row>
    <row r="417" spans="1:9" ht="18" x14ac:dyDescent="0.2">
      <c r="A417" s="5">
        <v>44287</v>
      </c>
      <c r="B417" s="6">
        <v>94.47</v>
      </c>
      <c r="C417" s="6">
        <v>109.84</v>
      </c>
      <c r="D417" s="6">
        <v>89.9</v>
      </c>
      <c r="E417" s="6">
        <v>105.07</v>
      </c>
      <c r="F417" s="6">
        <v>95.17</v>
      </c>
      <c r="G417" s="7">
        <v>15353000</v>
      </c>
      <c r="H417" t="s">
        <v>83</v>
      </c>
      <c r="I417" t="s">
        <v>17</v>
      </c>
    </row>
    <row r="418" spans="1:9" ht="18" x14ac:dyDescent="0.2">
      <c r="A418" s="5">
        <v>44256</v>
      </c>
      <c r="B418" s="6">
        <v>94.03</v>
      </c>
      <c r="C418" s="6">
        <v>103.34</v>
      </c>
      <c r="D418" s="6">
        <v>90.3</v>
      </c>
      <c r="E418" s="6">
        <v>94.44</v>
      </c>
      <c r="F418" s="6">
        <v>85.54</v>
      </c>
      <c r="G418" s="7">
        <v>19143200</v>
      </c>
      <c r="H418" t="s">
        <v>83</v>
      </c>
      <c r="I418" t="s">
        <v>17</v>
      </c>
    </row>
    <row r="419" spans="1:9" ht="18" x14ac:dyDescent="0.2">
      <c r="A419" s="5">
        <v>44228</v>
      </c>
      <c r="B419" s="6">
        <v>68.73</v>
      </c>
      <c r="C419" s="6">
        <v>99.39</v>
      </c>
      <c r="D419" s="6">
        <v>67.91</v>
      </c>
      <c r="E419" s="6">
        <v>91.51</v>
      </c>
      <c r="F419" s="6">
        <v>82.63</v>
      </c>
      <c r="G419" s="7">
        <v>16004900</v>
      </c>
      <c r="H419" t="s">
        <v>83</v>
      </c>
      <c r="I419" t="s">
        <v>17</v>
      </c>
    </row>
    <row r="420" spans="1:9" ht="18" x14ac:dyDescent="0.2">
      <c r="A420" s="5">
        <v>44197</v>
      </c>
      <c r="B420" s="6">
        <v>60.7</v>
      </c>
      <c r="C420" s="6">
        <v>73.59</v>
      </c>
      <c r="D420" s="6">
        <v>57.98</v>
      </c>
      <c r="E420" s="6">
        <v>68.180000000000007</v>
      </c>
      <c r="F420" s="6">
        <v>61.57</v>
      </c>
      <c r="G420" s="7">
        <v>15622700</v>
      </c>
      <c r="H420" t="s">
        <v>83</v>
      </c>
      <c r="I420" t="s">
        <v>17</v>
      </c>
    </row>
    <row r="421" spans="1:9" ht="18" x14ac:dyDescent="0.2">
      <c r="A421" s="5">
        <v>44166</v>
      </c>
      <c r="B421" s="6">
        <v>53.01</v>
      </c>
      <c r="C421" s="6">
        <v>61.23</v>
      </c>
      <c r="D421" s="6">
        <v>51.29</v>
      </c>
      <c r="E421" s="6">
        <v>59.95</v>
      </c>
      <c r="F421" s="6">
        <v>54.14</v>
      </c>
      <c r="G421" s="7">
        <v>15514800</v>
      </c>
      <c r="H421" t="s">
        <v>83</v>
      </c>
      <c r="I421" t="s">
        <v>17</v>
      </c>
    </row>
    <row r="422" spans="1:9" x14ac:dyDescent="0.2">
      <c r="A422" s="9">
        <v>45962</v>
      </c>
      <c r="B422" s="8">
        <v>51.85</v>
      </c>
      <c r="C422" s="8">
        <v>53.76</v>
      </c>
      <c r="D422" s="8">
        <v>50.04</v>
      </c>
      <c r="E422" s="8">
        <v>51.02</v>
      </c>
      <c r="F422" s="8">
        <v>50.58</v>
      </c>
      <c r="G422" s="10">
        <v>13929800</v>
      </c>
      <c r="H422" t="s">
        <v>83</v>
      </c>
      <c r="I422" t="s">
        <v>18</v>
      </c>
    </row>
    <row r="423" spans="1:9" x14ac:dyDescent="0.2">
      <c r="A423" s="9">
        <v>45931</v>
      </c>
      <c r="B423" s="8">
        <v>56.44</v>
      </c>
      <c r="C423" s="8">
        <v>58.54</v>
      </c>
      <c r="D423" s="8">
        <v>46.19</v>
      </c>
      <c r="E423" s="8">
        <v>52.11</v>
      </c>
      <c r="F423" s="8">
        <v>51.66</v>
      </c>
      <c r="G423" s="10">
        <v>59493100</v>
      </c>
      <c r="H423" t="s">
        <v>83</v>
      </c>
      <c r="I423" t="s">
        <v>18</v>
      </c>
    </row>
    <row r="424" spans="1:9" x14ac:dyDescent="0.2">
      <c r="A424" s="9">
        <v>45901</v>
      </c>
      <c r="B424" s="8">
        <v>57.11</v>
      </c>
      <c r="C424" s="8">
        <v>59.4</v>
      </c>
      <c r="D424" s="8">
        <v>55.42</v>
      </c>
      <c r="E424" s="8">
        <v>56.58</v>
      </c>
      <c r="F424" s="8">
        <v>56.09</v>
      </c>
      <c r="G424" s="10">
        <v>31808100</v>
      </c>
      <c r="H424" t="s">
        <v>83</v>
      </c>
      <c r="I424" t="s">
        <v>18</v>
      </c>
    </row>
    <row r="425" spans="1:9" x14ac:dyDescent="0.2">
      <c r="A425" s="9">
        <v>45870</v>
      </c>
      <c r="B425" s="8">
        <v>52.45</v>
      </c>
      <c r="C425" s="8">
        <v>58.46</v>
      </c>
      <c r="D425" s="8">
        <v>50.66</v>
      </c>
      <c r="E425" s="8">
        <v>58.01</v>
      </c>
      <c r="F425" s="8">
        <v>57.03</v>
      </c>
      <c r="G425" s="10">
        <v>30181000</v>
      </c>
      <c r="H425" t="s">
        <v>83</v>
      </c>
      <c r="I425" t="s">
        <v>18</v>
      </c>
    </row>
    <row r="426" spans="1:9" x14ac:dyDescent="0.2">
      <c r="A426" s="9">
        <v>45839</v>
      </c>
      <c r="B426" s="8">
        <v>51.75</v>
      </c>
      <c r="C426" s="8">
        <v>58.05</v>
      </c>
      <c r="D426" s="8">
        <v>51.36</v>
      </c>
      <c r="E426" s="8">
        <v>53.62</v>
      </c>
      <c r="F426" s="8">
        <v>52.72</v>
      </c>
      <c r="G426" s="10">
        <v>35446200</v>
      </c>
      <c r="H426" t="s">
        <v>83</v>
      </c>
      <c r="I426" t="s">
        <v>18</v>
      </c>
    </row>
    <row r="427" spans="1:9" x14ac:dyDescent="0.2">
      <c r="A427" s="9">
        <v>45809</v>
      </c>
      <c r="B427" s="8">
        <v>47.24</v>
      </c>
      <c r="C427" s="8">
        <v>52.32</v>
      </c>
      <c r="D427" s="8">
        <v>46.09</v>
      </c>
      <c r="E427" s="8">
        <v>51.94</v>
      </c>
      <c r="F427" s="8">
        <v>51.06</v>
      </c>
      <c r="G427" s="10">
        <v>23390700</v>
      </c>
      <c r="H427" t="s">
        <v>83</v>
      </c>
      <c r="I427" t="s">
        <v>18</v>
      </c>
    </row>
    <row r="428" spans="1:9" x14ac:dyDescent="0.2">
      <c r="A428" s="9">
        <v>45778</v>
      </c>
      <c r="B428" s="8">
        <v>44.94</v>
      </c>
      <c r="C428" s="8">
        <v>50.21</v>
      </c>
      <c r="D428" s="8">
        <v>44.55</v>
      </c>
      <c r="E428" s="8">
        <v>47.36</v>
      </c>
      <c r="F428" s="8">
        <v>46.16</v>
      </c>
      <c r="G428" s="10">
        <v>30306200</v>
      </c>
      <c r="H428" t="s">
        <v>83</v>
      </c>
      <c r="I428" t="s">
        <v>18</v>
      </c>
    </row>
    <row r="429" spans="1:9" x14ac:dyDescent="0.2">
      <c r="A429" s="9">
        <v>45748</v>
      </c>
      <c r="B429" s="8">
        <v>49.39</v>
      </c>
      <c r="C429" s="8">
        <v>50.49</v>
      </c>
      <c r="D429" s="8">
        <v>39.32</v>
      </c>
      <c r="E429" s="8">
        <v>44.97</v>
      </c>
      <c r="F429" s="8">
        <v>43.83</v>
      </c>
      <c r="G429" s="10">
        <v>47344100</v>
      </c>
      <c r="H429" t="s">
        <v>83</v>
      </c>
      <c r="I429" t="s">
        <v>18</v>
      </c>
    </row>
    <row r="430" spans="1:9" x14ac:dyDescent="0.2">
      <c r="A430" s="9">
        <v>45717</v>
      </c>
      <c r="B430" s="8">
        <v>54.41</v>
      </c>
      <c r="C430" s="8">
        <v>54.85</v>
      </c>
      <c r="D430" s="8">
        <v>46.19</v>
      </c>
      <c r="E430" s="8">
        <v>49.86</v>
      </c>
      <c r="F430" s="8">
        <v>48.59</v>
      </c>
      <c r="G430" s="10">
        <v>46794000</v>
      </c>
      <c r="H430" t="s">
        <v>83</v>
      </c>
      <c r="I430" t="s">
        <v>18</v>
      </c>
    </row>
    <row r="431" spans="1:9" x14ac:dyDescent="0.2">
      <c r="A431" s="9">
        <v>45689</v>
      </c>
      <c r="B431" s="8">
        <v>55.87</v>
      </c>
      <c r="C431" s="8">
        <v>58.39</v>
      </c>
      <c r="D431" s="8">
        <v>52.16</v>
      </c>
      <c r="E431" s="8">
        <v>54.04</v>
      </c>
      <c r="F431" s="8">
        <v>52.26</v>
      </c>
      <c r="G431" s="10">
        <v>24726600</v>
      </c>
      <c r="H431" t="s">
        <v>83</v>
      </c>
      <c r="I431" t="s">
        <v>18</v>
      </c>
    </row>
    <row r="432" spans="1:9" x14ac:dyDescent="0.2">
      <c r="A432" s="9">
        <v>45658</v>
      </c>
      <c r="B432" s="8">
        <v>54.67</v>
      </c>
      <c r="C432" s="8">
        <v>59.45</v>
      </c>
      <c r="D432" s="8">
        <v>52.81</v>
      </c>
      <c r="E432" s="8">
        <v>57.86</v>
      </c>
      <c r="F432" s="8">
        <v>55.95</v>
      </c>
      <c r="G432" s="10">
        <v>25021300</v>
      </c>
      <c r="H432" t="s">
        <v>83</v>
      </c>
      <c r="I432" t="s">
        <v>18</v>
      </c>
    </row>
    <row r="433" spans="1:9" x14ac:dyDescent="0.2">
      <c r="A433" s="9">
        <v>45627</v>
      </c>
      <c r="B433" s="8">
        <v>60.69</v>
      </c>
      <c r="C433" s="8">
        <v>60.71</v>
      </c>
      <c r="D433" s="8">
        <v>52.07</v>
      </c>
      <c r="E433" s="8">
        <v>54.25</v>
      </c>
      <c r="F433" s="8">
        <v>52.46</v>
      </c>
      <c r="G433" s="10">
        <v>27556300</v>
      </c>
      <c r="H433" t="s">
        <v>83</v>
      </c>
      <c r="I433" t="s">
        <v>18</v>
      </c>
    </row>
    <row r="434" spans="1:9" x14ac:dyDescent="0.2">
      <c r="A434" s="9">
        <v>45597</v>
      </c>
      <c r="B434" s="8">
        <v>52.28</v>
      </c>
      <c r="C434" s="8">
        <v>63.22</v>
      </c>
      <c r="D434" s="8">
        <v>50.24</v>
      </c>
      <c r="E434" s="8">
        <v>60.52</v>
      </c>
      <c r="F434" s="8">
        <v>58.11</v>
      </c>
      <c r="G434" s="10">
        <v>25501100</v>
      </c>
      <c r="H434" t="s">
        <v>83</v>
      </c>
      <c r="I434" t="s">
        <v>18</v>
      </c>
    </row>
    <row r="435" spans="1:9" x14ac:dyDescent="0.2">
      <c r="A435" s="9">
        <v>45566</v>
      </c>
      <c r="B435" s="8">
        <v>46.7</v>
      </c>
      <c r="C435" s="8">
        <v>53.85</v>
      </c>
      <c r="D435" s="8">
        <v>44.96</v>
      </c>
      <c r="E435" s="8">
        <v>52.06</v>
      </c>
      <c r="F435" s="8">
        <v>49.99</v>
      </c>
      <c r="G435" s="10">
        <v>32255600</v>
      </c>
      <c r="H435" t="s">
        <v>83</v>
      </c>
      <c r="I435" t="s">
        <v>18</v>
      </c>
    </row>
    <row r="436" spans="1:9" x14ac:dyDescent="0.2">
      <c r="A436" s="9">
        <v>45536</v>
      </c>
      <c r="B436" s="8">
        <v>48.99</v>
      </c>
      <c r="C436" s="8">
        <v>49.57</v>
      </c>
      <c r="D436" s="8">
        <v>43.72</v>
      </c>
      <c r="E436" s="8">
        <v>47.22</v>
      </c>
      <c r="F436" s="8">
        <v>45.34</v>
      </c>
      <c r="G436" s="10">
        <v>31447100</v>
      </c>
      <c r="H436" t="s">
        <v>83</v>
      </c>
      <c r="I436" t="s">
        <v>18</v>
      </c>
    </row>
    <row r="437" spans="1:9" x14ac:dyDescent="0.2">
      <c r="A437" s="9">
        <v>45505</v>
      </c>
      <c r="B437" s="8">
        <v>51.62</v>
      </c>
      <c r="C437" s="8">
        <v>51.81</v>
      </c>
      <c r="D437" s="8">
        <v>43.51</v>
      </c>
      <c r="E437" s="8">
        <v>49.56</v>
      </c>
      <c r="F437" s="8">
        <v>47.15</v>
      </c>
      <c r="G437" s="10">
        <v>33896600</v>
      </c>
      <c r="H437" t="s">
        <v>83</v>
      </c>
      <c r="I437" t="s">
        <v>18</v>
      </c>
    </row>
    <row r="438" spans="1:9" x14ac:dyDescent="0.2">
      <c r="A438" s="9">
        <v>45474</v>
      </c>
      <c r="B438" s="8">
        <v>43.03</v>
      </c>
      <c r="C438" s="8">
        <v>53.32</v>
      </c>
      <c r="D438" s="8">
        <v>42.33</v>
      </c>
      <c r="E438" s="8">
        <v>51.67</v>
      </c>
      <c r="F438" s="8">
        <v>49.16</v>
      </c>
      <c r="G438" s="10">
        <v>41209600</v>
      </c>
      <c r="H438" t="s">
        <v>83</v>
      </c>
      <c r="I438" t="s">
        <v>18</v>
      </c>
    </row>
    <row r="439" spans="1:9" x14ac:dyDescent="0.2">
      <c r="A439" s="9">
        <v>45444</v>
      </c>
      <c r="B439" s="8">
        <v>43.45</v>
      </c>
      <c r="C439" s="8">
        <v>43.54</v>
      </c>
      <c r="D439" s="8">
        <v>39.909999999999997</v>
      </c>
      <c r="E439" s="8">
        <v>43.37</v>
      </c>
      <c r="F439" s="8">
        <v>41.26</v>
      </c>
      <c r="G439" s="10">
        <v>27889600</v>
      </c>
      <c r="H439" t="s">
        <v>83</v>
      </c>
      <c r="I439" t="s">
        <v>18</v>
      </c>
    </row>
    <row r="440" spans="1:9" x14ac:dyDescent="0.2">
      <c r="A440" s="9">
        <v>45413</v>
      </c>
      <c r="B440" s="8">
        <v>41.08</v>
      </c>
      <c r="C440" s="8">
        <v>45.54</v>
      </c>
      <c r="D440" s="8">
        <v>40.98</v>
      </c>
      <c r="E440" s="8">
        <v>43.19</v>
      </c>
      <c r="F440" s="8">
        <v>40.72</v>
      </c>
      <c r="G440" s="10">
        <v>29998600</v>
      </c>
      <c r="H440" t="s">
        <v>83</v>
      </c>
      <c r="I440" t="s">
        <v>18</v>
      </c>
    </row>
    <row r="441" spans="1:9" x14ac:dyDescent="0.2">
      <c r="A441" s="9">
        <v>45383</v>
      </c>
      <c r="B441" s="8">
        <v>43.36</v>
      </c>
      <c r="C441" s="8">
        <v>43.63</v>
      </c>
      <c r="D441" s="8">
        <v>39.049999999999997</v>
      </c>
      <c r="E441" s="8">
        <v>40.78</v>
      </c>
      <c r="F441" s="8">
        <v>38.44</v>
      </c>
      <c r="G441" s="10">
        <v>42463900</v>
      </c>
      <c r="H441" t="s">
        <v>83</v>
      </c>
      <c r="I441" t="s">
        <v>18</v>
      </c>
    </row>
    <row r="442" spans="1:9" x14ac:dyDescent="0.2">
      <c r="A442" s="9">
        <v>45352</v>
      </c>
      <c r="B442" s="8">
        <v>38.72</v>
      </c>
      <c r="C442" s="8">
        <v>43.52</v>
      </c>
      <c r="D442" s="8">
        <v>38.01</v>
      </c>
      <c r="E442" s="8">
        <v>43.4</v>
      </c>
      <c r="F442" s="8">
        <v>40.909999999999997</v>
      </c>
      <c r="G442" s="10">
        <v>86424800</v>
      </c>
      <c r="H442" t="s">
        <v>83</v>
      </c>
      <c r="I442" t="s">
        <v>18</v>
      </c>
    </row>
    <row r="443" spans="1:9" x14ac:dyDescent="0.2">
      <c r="A443" s="9">
        <v>45323</v>
      </c>
      <c r="B443" s="8">
        <v>42.19</v>
      </c>
      <c r="C443" s="8">
        <v>42.34</v>
      </c>
      <c r="D443" s="8">
        <v>37.76</v>
      </c>
      <c r="E443" s="8">
        <v>39.43</v>
      </c>
      <c r="F443" s="8">
        <v>36.78</v>
      </c>
      <c r="G443" s="10">
        <v>62019000</v>
      </c>
      <c r="H443" t="s">
        <v>83</v>
      </c>
      <c r="I443" t="s">
        <v>18</v>
      </c>
    </row>
    <row r="444" spans="1:9" x14ac:dyDescent="0.2">
      <c r="A444" s="9">
        <v>45292</v>
      </c>
      <c r="B444" s="8">
        <v>43.5</v>
      </c>
      <c r="C444" s="8">
        <v>45.33</v>
      </c>
      <c r="D444" s="8">
        <v>39.78</v>
      </c>
      <c r="E444" s="8">
        <v>41.9</v>
      </c>
      <c r="F444" s="8">
        <v>39.090000000000003</v>
      </c>
      <c r="G444" s="10">
        <v>54437800</v>
      </c>
      <c r="H444" t="s">
        <v>83</v>
      </c>
      <c r="I444" t="s">
        <v>18</v>
      </c>
    </row>
    <row r="445" spans="1:9" x14ac:dyDescent="0.2">
      <c r="A445" s="9">
        <v>45261</v>
      </c>
      <c r="B445" s="8">
        <v>35.4</v>
      </c>
      <c r="C445" s="8">
        <v>46.15</v>
      </c>
      <c r="D445" s="8">
        <v>35.21</v>
      </c>
      <c r="E445" s="8">
        <v>43.87</v>
      </c>
      <c r="F445" s="8">
        <v>40.93</v>
      </c>
      <c r="G445" s="10">
        <v>49178000</v>
      </c>
      <c r="H445" t="s">
        <v>83</v>
      </c>
      <c r="I445" t="s">
        <v>18</v>
      </c>
    </row>
    <row r="446" spans="1:9" x14ac:dyDescent="0.2">
      <c r="A446" s="9">
        <v>45231</v>
      </c>
      <c r="B446" s="8">
        <v>30.74</v>
      </c>
      <c r="C446" s="8">
        <v>36.53</v>
      </c>
      <c r="D446" s="8">
        <v>30.33</v>
      </c>
      <c r="E446" s="8">
        <v>35.630000000000003</v>
      </c>
      <c r="F446" s="8">
        <v>32.840000000000003</v>
      </c>
      <c r="G446" s="10">
        <v>42506500</v>
      </c>
      <c r="H446" t="s">
        <v>83</v>
      </c>
      <c r="I446" t="s">
        <v>18</v>
      </c>
    </row>
    <row r="447" spans="1:9" x14ac:dyDescent="0.2">
      <c r="A447" s="9">
        <v>45200</v>
      </c>
      <c r="B447" s="8">
        <v>34.89</v>
      </c>
      <c r="C447" s="8">
        <v>37.19</v>
      </c>
      <c r="D447" s="8">
        <v>28.9</v>
      </c>
      <c r="E447" s="8">
        <v>30.85</v>
      </c>
      <c r="F447" s="8">
        <v>28.43</v>
      </c>
      <c r="G447" s="10">
        <v>77844500</v>
      </c>
      <c r="H447" t="s">
        <v>83</v>
      </c>
      <c r="I447" t="s">
        <v>18</v>
      </c>
    </row>
    <row r="448" spans="1:9" x14ac:dyDescent="0.2">
      <c r="A448" s="9">
        <v>45170</v>
      </c>
      <c r="B448" s="8">
        <v>35.76</v>
      </c>
      <c r="C448" s="8">
        <v>37.630000000000003</v>
      </c>
      <c r="D448" s="8">
        <v>32.54</v>
      </c>
      <c r="E448" s="8">
        <v>34.89</v>
      </c>
      <c r="F448" s="8">
        <v>32.159999999999997</v>
      </c>
      <c r="G448" s="10">
        <v>57345300</v>
      </c>
      <c r="H448" t="s">
        <v>83</v>
      </c>
      <c r="I448" t="s">
        <v>18</v>
      </c>
    </row>
    <row r="449" spans="1:9" x14ac:dyDescent="0.2">
      <c r="A449" s="9">
        <v>45139</v>
      </c>
      <c r="B449" s="8">
        <v>38.65</v>
      </c>
      <c r="C449" s="8">
        <v>38.68</v>
      </c>
      <c r="D449" s="8">
        <v>32.65</v>
      </c>
      <c r="E449" s="8">
        <v>35.5</v>
      </c>
      <c r="F449" s="8">
        <v>32.340000000000003</v>
      </c>
      <c r="G449" s="10">
        <v>54851700</v>
      </c>
      <c r="H449" t="s">
        <v>83</v>
      </c>
      <c r="I449" t="s">
        <v>18</v>
      </c>
    </row>
    <row r="450" spans="1:9" x14ac:dyDescent="0.2">
      <c r="A450" s="9">
        <v>45108</v>
      </c>
      <c r="B450" s="8">
        <v>27.26</v>
      </c>
      <c r="C450" s="8">
        <v>39.64</v>
      </c>
      <c r="D450" s="8">
        <v>26.69</v>
      </c>
      <c r="E450" s="8">
        <v>38.25</v>
      </c>
      <c r="F450" s="8">
        <v>34.85</v>
      </c>
      <c r="G450" s="10">
        <v>94571400</v>
      </c>
      <c r="H450" t="s">
        <v>83</v>
      </c>
      <c r="I450" t="s">
        <v>18</v>
      </c>
    </row>
    <row r="451" spans="1:9" x14ac:dyDescent="0.2">
      <c r="A451" s="9">
        <v>45078</v>
      </c>
      <c r="B451" s="8">
        <v>27.81</v>
      </c>
      <c r="C451" s="8">
        <v>32.340000000000003</v>
      </c>
      <c r="D451" s="8">
        <v>26.36</v>
      </c>
      <c r="E451" s="8">
        <v>26.86</v>
      </c>
      <c r="F451" s="8">
        <v>24.47</v>
      </c>
      <c r="G451" s="10">
        <v>89806300</v>
      </c>
      <c r="H451" t="s">
        <v>83</v>
      </c>
      <c r="I451" t="s">
        <v>18</v>
      </c>
    </row>
    <row r="452" spans="1:9" x14ac:dyDescent="0.2">
      <c r="A452" s="9">
        <v>45047</v>
      </c>
      <c r="B452" s="8">
        <v>27.94</v>
      </c>
      <c r="C452" s="8">
        <v>30.67</v>
      </c>
      <c r="D452" s="8">
        <v>18.260000000000002</v>
      </c>
      <c r="E452" s="8">
        <v>27.29</v>
      </c>
      <c r="F452" s="8">
        <v>24.43</v>
      </c>
      <c r="G452" s="10">
        <v>185283000</v>
      </c>
      <c r="H452" t="s">
        <v>83</v>
      </c>
      <c r="I452" t="s">
        <v>18</v>
      </c>
    </row>
    <row r="453" spans="1:9" x14ac:dyDescent="0.2">
      <c r="A453" s="9">
        <v>45017</v>
      </c>
      <c r="B453" s="8">
        <v>30.29</v>
      </c>
      <c r="C453" s="8">
        <v>33.130000000000003</v>
      </c>
      <c r="D453" s="8">
        <v>25.91</v>
      </c>
      <c r="E453" s="8">
        <v>27.86</v>
      </c>
      <c r="F453" s="8">
        <v>24.94</v>
      </c>
      <c r="G453" s="10">
        <v>100405300</v>
      </c>
      <c r="H453" t="s">
        <v>83</v>
      </c>
      <c r="I453" t="s">
        <v>18</v>
      </c>
    </row>
    <row r="454" spans="1:9" x14ac:dyDescent="0.2">
      <c r="A454" s="9">
        <v>44986</v>
      </c>
      <c r="B454" s="8">
        <v>50.26</v>
      </c>
      <c r="C454" s="8">
        <v>50.96</v>
      </c>
      <c r="D454" s="8">
        <v>22.55</v>
      </c>
      <c r="E454" s="8">
        <v>29.93</v>
      </c>
      <c r="F454" s="8">
        <v>26.8</v>
      </c>
      <c r="G454" s="10">
        <v>170051500</v>
      </c>
      <c r="H454" t="s">
        <v>83</v>
      </c>
      <c r="I454" t="s">
        <v>18</v>
      </c>
    </row>
    <row r="455" spans="1:9" x14ac:dyDescent="0.2">
      <c r="A455" s="9">
        <v>44958</v>
      </c>
      <c r="B455" s="8">
        <v>52.87</v>
      </c>
      <c r="C455" s="8">
        <v>55.2</v>
      </c>
      <c r="D455" s="8">
        <v>48.63</v>
      </c>
      <c r="E455" s="8">
        <v>50.62</v>
      </c>
      <c r="F455" s="8">
        <v>44.97</v>
      </c>
      <c r="G455" s="10">
        <v>23976800</v>
      </c>
      <c r="H455" t="s">
        <v>83</v>
      </c>
      <c r="I455" t="s">
        <v>18</v>
      </c>
    </row>
    <row r="456" spans="1:9" x14ac:dyDescent="0.2">
      <c r="A456" s="9">
        <v>44927</v>
      </c>
      <c r="B456" s="8">
        <v>48.68</v>
      </c>
      <c r="C456" s="8">
        <v>53.77</v>
      </c>
      <c r="D456" s="8">
        <v>47.56</v>
      </c>
      <c r="E456" s="8">
        <v>53.16</v>
      </c>
      <c r="F456" s="8">
        <v>47.23</v>
      </c>
      <c r="G456" s="10">
        <v>32306300</v>
      </c>
      <c r="H456" t="s">
        <v>83</v>
      </c>
      <c r="I456" t="s">
        <v>18</v>
      </c>
    </row>
    <row r="457" spans="1:9" x14ac:dyDescent="0.2">
      <c r="A457" s="9">
        <v>44896</v>
      </c>
      <c r="B457" s="8">
        <v>52.2</v>
      </c>
      <c r="C457" s="8">
        <v>52.61</v>
      </c>
      <c r="D457" s="8">
        <v>45.21</v>
      </c>
      <c r="E457" s="8">
        <v>49.16</v>
      </c>
      <c r="F457" s="8">
        <v>43.67</v>
      </c>
      <c r="G457" s="10">
        <v>27665700</v>
      </c>
      <c r="H457" t="s">
        <v>83</v>
      </c>
      <c r="I457" t="s">
        <v>18</v>
      </c>
    </row>
    <row r="458" spans="1:9" x14ac:dyDescent="0.2">
      <c r="A458" s="9">
        <v>44866</v>
      </c>
      <c r="B458" s="8">
        <v>52.39</v>
      </c>
      <c r="C458" s="8">
        <v>56.1</v>
      </c>
      <c r="D458" s="8">
        <v>47.46</v>
      </c>
      <c r="E458" s="8">
        <v>51.82</v>
      </c>
      <c r="F458" s="8">
        <v>45.66</v>
      </c>
      <c r="G458" s="10">
        <v>29410400</v>
      </c>
      <c r="H458" t="s">
        <v>83</v>
      </c>
      <c r="I458" t="s">
        <v>18</v>
      </c>
    </row>
    <row r="459" spans="1:9" x14ac:dyDescent="0.2">
      <c r="A459" s="9">
        <v>44835</v>
      </c>
      <c r="B459" s="8">
        <v>51.73</v>
      </c>
      <c r="C459" s="8">
        <v>54.52</v>
      </c>
      <c r="D459" s="8">
        <v>46.58</v>
      </c>
      <c r="E459" s="8">
        <v>51.94</v>
      </c>
      <c r="F459" s="8">
        <v>45.77</v>
      </c>
      <c r="G459" s="10">
        <v>35928800</v>
      </c>
      <c r="H459" t="s">
        <v>83</v>
      </c>
      <c r="I459" t="s">
        <v>18</v>
      </c>
    </row>
    <row r="460" spans="1:9" x14ac:dyDescent="0.2">
      <c r="A460" s="9">
        <v>44805</v>
      </c>
      <c r="B460" s="8">
        <v>54.75</v>
      </c>
      <c r="C460" s="8">
        <v>59.75</v>
      </c>
      <c r="D460" s="8">
        <v>50.79</v>
      </c>
      <c r="E460" s="8">
        <v>50.86</v>
      </c>
      <c r="F460" s="8">
        <v>44.82</v>
      </c>
      <c r="G460" s="10">
        <v>26071600</v>
      </c>
      <c r="H460" t="s">
        <v>83</v>
      </c>
      <c r="I460" t="s">
        <v>18</v>
      </c>
    </row>
    <row r="461" spans="1:9" x14ac:dyDescent="0.2">
      <c r="A461" s="9">
        <v>44774</v>
      </c>
      <c r="B461" s="8">
        <v>54.29</v>
      </c>
      <c r="C461" s="8">
        <v>59.51</v>
      </c>
      <c r="D461" s="8">
        <v>53.01</v>
      </c>
      <c r="E461" s="8">
        <v>55.03</v>
      </c>
      <c r="F461" s="8">
        <v>48.16</v>
      </c>
      <c r="G461" s="10">
        <v>23218800</v>
      </c>
      <c r="H461" t="s">
        <v>83</v>
      </c>
      <c r="I461" t="s">
        <v>18</v>
      </c>
    </row>
    <row r="462" spans="1:9" x14ac:dyDescent="0.2">
      <c r="A462" s="9">
        <v>44743</v>
      </c>
      <c r="B462" s="8">
        <v>50.64</v>
      </c>
      <c r="C462" s="8">
        <v>54.7</v>
      </c>
      <c r="D462" s="8">
        <v>47.92</v>
      </c>
      <c r="E462" s="8">
        <v>54.55</v>
      </c>
      <c r="F462" s="8">
        <v>47.74</v>
      </c>
      <c r="G462" s="10">
        <v>27935800</v>
      </c>
      <c r="H462" t="s">
        <v>83</v>
      </c>
      <c r="I462" t="s">
        <v>18</v>
      </c>
    </row>
    <row r="463" spans="1:9" x14ac:dyDescent="0.2">
      <c r="A463" s="9">
        <v>44713</v>
      </c>
      <c r="B463" s="8">
        <v>56.93</v>
      </c>
      <c r="C463" s="8">
        <v>57.79</v>
      </c>
      <c r="D463" s="8">
        <v>49.94</v>
      </c>
      <c r="E463" s="8">
        <v>50.9</v>
      </c>
      <c r="F463" s="8">
        <v>44.54</v>
      </c>
      <c r="G463" s="10">
        <v>31124600</v>
      </c>
      <c r="H463" t="s">
        <v>83</v>
      </c>
      <c r="I463" t="s">
        <v>18</v>
      </c>
    </row>
    <row r="464" spans="1:9" x14ac:dyDescent="0.2">
      <c r="A464" s="9">
        <v>44682</v>
      </c>
      <c r="B464" s="8">
        <v>57.1</v>
      </c>
      <c r="C464" s="8">
        <v>59.51</v>
      </c>
      <c r="D464" s="8">
        <v>50.62</v>
      </c>
      <c r="E464" s="8">
        <v>57.04</v>
      </c>
      <c r="F464" s="8">
        <v>49.57</v>
      </c>
      <c r="G464" s="10">
        <v>30219600</v>
      </c>
      <c r="H464" t="s">
        <v>83</v>
      </c>
      <c r="I464" t="s">
        <v>18</v>
      </c>
    </row>
    <row r="465" spans="1:9" x14ac:dyDescent="0.2">
      <c r="A465" s="9">
        <v>44652</v>
      </c>
      <c r="B465" s="8">
        <v>66.61</v>
      </c>
      <c r="C465" s="8">
        <v>67.25</v>
      </c>
      <c r="D465" s="8">
        <v>55.05</v>
      </c>
      <c r="E465" s="8">
        <v>56.51</v>
      </c>
      <c r="F465" s="8">
        <v>49.11</v>
      </c>
      <c r="G465" s="10">
        <v>33289300</v>
      </c>
      <c r="H465" t="s">
        <v>83</v>
      </c>
      <c r="I465" t="s">
        <v>18</v>
      </c>
    </row>
    <row r="466" spans="1:9" x14ac:dyDescent="0.2">
      <c r="A466" s="9">
        <v>44621</v>
      </c>
      <c r="B466" s="8">
        <v>70.27</v>
      </c>
      <c r="C466" s="8">
        <v>71.25</v>
      </c>
      <c r="D466" s="8">
        <v>61.75</v>
      </c>
      <c r="E466" s="8">
        <v>65.56</v>
      </c>
      <c r="F466" s="8">
        <v>56.97</v>
      </c>
      <c r="G466" s="10">
        <v>40594700</v>
      </c>
      <c r="H466" t="s">
        <v>83</v>
      </c>
      <c r="I466" t="s">
        <v>18</v>
      </c>
    </row>
    <row r="467" spans="1:9" x14ac:dyDescent="0.2">
      <c r="A467" s="9">
        <v>44593</v>
      </c>
      <c r="B467" s="8">
        <v>67.62</v>
      </c>
      <c r="C467" s="8">
        <v>75.44</v>
      </c>
      <c r="D467" s="8">
        <v>63.91</v>
      </c>
      <c r="E467" s="8">
        <v>70.89</v>
      </c>
      <c r="F467" s="8">
        <v>61.29</v>
      </c>
      <c r="G467" s="10">
        <v>29117500</v>
      </c>
      <c r="H467" t="s">
        <v>83</v>
      </c>
      <c r="I467" t="s">
        <v>18</v>
      </c>
    </row>
    <row r="468" spans="1:9" x14ac:dyDescent="0.2">
      <c r="A468" s="9">
        <v>44562</v>
      </c>
      <c r="B468" s="8">
        <v>63.88</v>
      </c>
      <c r="C468" s="8">
        <v>71.209999999999994</v>
      </c>
      <c r="D468" s="8">
        <v>59.49</v>
      </c>
      <c r="E468" s="8">
        <v>67.819999999999993</v>
      </c>
      <c r="F468" s="8">
        <v>58.64</v>
      </c>
      <c r="G468" s="10">
        <v>32969500</v>
      </c>
      <c r="H468" t="s">
        <v>83</v>
      </c>
      <c r="I468" t="s">
        <v>18</v>
      </c>
    </row>
    <row r="469" spans="1:9" x14ac:dyDescent="0.2">
      <c r="A469" s="9">
        <v>44531</v>
      </c>
      <c r="B469" s="8">
        <v>64.400000000000006</v>
      </c>
      <c r="C469" s="8">
        <v>65.27</v>
      </c>
      <c r="D469" s="8">
        <v>58.18</v>
      </c>
      <c r="E469" s="8">
        <v>63.16</v>
      </c>
      <c r="F469" s="8">
        <v>54.61</v>
      </c>
      <c r="G469" s="10">
        <v>27485100</v>
      </c>
      <c r="H469" t="s">
        <v>83</v>
      </c>
      <c r="I469" t="s">
        <v>18</v>
      </c>
    </row>
    <row r="470" spans="1:9" x14ac:dyDescent="0.2">
      <c r="A470" s="9">
        <v>44501</v>
      </c>
      <c r="B470" s="8">
        <v>63.55</v>
      </c>
      <c r="C470" s="8">
        <v>68.25</v>
      </c>
      <c r="D470" s="8">
        <v>62.71</v>
      </c>
      <c r="E470" s="8">
        <v>63.08</v>
      </c>
      <c r="F470" s="8">
        <v>54.22</v>
      </c>
      <c r="G470" s="10">
        <v>25291300</v>
      </c>
      <c r="H470" t="s">
        <v>83</v>
      </c>
      <c r="I470" t="s">
        <v>18</v>
      </c>
    </row>
    <row r="471" spans="1:9" x14ac:dyDescent="0.2">
      <c r="A471" s="9">
        <v>44470</v>
      </c>
      <c r="B471" s="8">
        <v>62.2</v>
      </c>
      <c r="C471" s="8">
        <v>66.989999999999995</v>
      </c>
      <c r="D471" s="8">
        <v>60.48</v>
      </c>
      <c r="E471" s="8">
        <v>62.99</v>
      </c>
      <c r="F471" s="8">
        <v>54.14</v>
      </c>
      <c r="G471" s="10">
        <v>25945400</v>
      </c>
      <c r="H471" t="s">
        <v>83</v>
      </c>
      <c r="I471" t="s">
        <v>18</v>
      </c>
    </row>
    <row r="472" spans="1:9" x14ac:dyDescent="0.2">
      <c r="A472" s="9">
        <v>44440</v>
      </c>
      <c r="B472" s="8">
        <v>57.25</v>
      </c>
      <c r="C472" s="8">
        <v>64</v>
      </c>
      <c r="D472" s="8">
        <v>54.37</v>
      </c>
      <c r="E472" s="8">
        <v>61.89</v>
      </c>
      <c r="F472" s="8">
        <v>53.2</v>
      </c>
      <c r="G472" s="10">
        <v>27804400</v>
      </c>
      <c r="H472" t="s">
        <v>83</v>
      </c>
      <c r="I472" t="s">
        <v>18</v>
      </c>
    </row>
    <row r="473" spans="1:9" x14ac:dyDescent="0.2">
      <c r="A473" s="9">
        <v>44409</v>
      </c>
      <c r="B473" s="8">
        <v>52.35</v>
      </c>
      <c r="C473" s="8">
        <v>58.62</v>
      </c>
      <c r="D473" s="8">
        <v>50.8</v>
      </c>
      <c r="E473" s="8">
        <v>57.9</v>
      </c>
      <c r="F473" s="8">
        <v>49.43</v>
      </c>
      <c r="G473" s="10">
        <v>25210400</v>
      </c>
      <c r="H473" t="s">
        <v>83</v>
      </c>
      <c r="I473" t="s">
        <v>18</v>
      </c>
    </row>
    <row r="474" spans="1:9" x14ac:dyDescent="0.2">
      <c r="A474" s="9">
        <v>44378</v>
      </c>
      <c r="B474" s="8">
        <v>53.69</v>
      </c>
      <c r="C474" s="8">
        <v>54.02</v>
      </c>
      <c r="D474" s="8">
        <v>47.06</v>
      </c>
      <c r="E474" s="8">
        <v>52.15</v>
      </c>
      <c r="F474" s="8">
        <v>44.52</v>
      </c>
      <c r="G474" s="10">
        <v>30506700</v>
      </c>
      <c r="H474" t="s">
        <v>83</v>
      </c>
      <c r="I474" t="s">
        <v>18</v>
      </c>
    </row>
    <row r="475" spans="1:9" x14ac:dyDescent="0.2">
      <c r="A475" s="9">
        <v>44348</v>
      </c>
      <c r="B475" s="8">
        <v>58.29</v>
      </c>
      <c r="C475" s="8">
        <v>59.26</v>
      </c>
      <c r="D475" s="8">
        <v>49.79</v>
      </c>
      <c r="E475" s="8">
        <v>52.86</v>
      </c>
      <c r="F475" s="8">
        <v>45.12</v>
      </c>
      <c r="G475" s="10">
        <v>27399300</v>
      </c>
      <c r="H475" t="s">
        <v>83</v>
      </c>
      <c r="I475" t="s">
        <v>18</v>
      </c>
    </row>
    <row r="476" spans="1:9" x14ac:dyDescent="0.2">
      <c r="A476" s="9">
        <v>44317</v>
      </c>
      <c r="B476" s="8">
        <v>56.45</v>
      </c>
      <c r="C476" s="8">
        <v>60.65</v>
      </c>
      <c r="D476" s="8">
        <v>55</v>
      </c>
      <c r="E476" s="8">
        <v>57.88</v>
      </c>
      <c r="F476" s="8">
        <v>49.12</v>
      </c>
      <c r="G476" s="10">
        <v>25776500</v>
      </c>
      <c r="H476" t="s">
        <v>83</v>
      </c>
      <c r="I476" t="s">
        <v>18</v>
      </c>
    </row>
    <row r="477" spans="1:9" x14ac:dyDescent="0.2">
      <c r="A477" s="9">
        <v>44287</v>
      </c>
      <c r="B477" s="8">
        <v>54.55</v>
      </c>
      <c r="C477" s="8">
        <v>57.1</v>
      </c>
      <c r="D477" s="8">
        <v>51.63</v>
      </c>
      <c r="E477" s="8">
        <v>55.8</v>
      </c>
      <c r="F477" s="8">
        <v>47.36</v>
      </c>
      <c r="G477" s="10">
        <v>27983000</v>
      </c>
      <c r="H477" t="s">
        <v>83</v>
      </c>
      <c r="I477" t="s">
        <v>18</v>
      </c>
    </row>
    <row r="478" spans="1:9" x14ac:dyDescent="0.2">
      <c r="A478" s="9">
        <v>44256</v>
      </c>
      <c r="B478" s="8">
        <v>53.83</v>
      </c>
      <c r="C478" s="8">
        <v>60.22</v>
      </c>
      <c r="D478" s="8">
        <v>52.18</v>
      </c>
      <c r="E478" s="8">
        <v>54.96</v>
      </c>
      <c r="F478" s="8">
        <v>46.64</v>
      </c>
      <c r="G478" s="10">
        <v>35671400</v>
      </c>
      <c r="H478" t="s">
        <v>83</v>
      </c>
      <c r="I478" t="s">
        <v>18</v>
      </c>
    </row>
    <row r="479" spans="1:9" x14ac:dyDescent="0.2">
      <c r="A479" s="9">
        <v>44228</v>
      </c>
      <c r="B479" s="8">
        <v>44.43</v>
      </c>
      <c r="C479" s="8">
        <v>57.7</v>
      </c>
      <c r="D479" s="8">
        <v>44.02</v>
      </c>
      <c r="E479" s="8">
        <v>53.17</v>
      </c>
      <c r="F479" s="8">
        <v>44.83</v>
      </c>
      <c r="G479" s="10">
        <v>26378400</v>
      </c>
      <c r="H479" t="s">
        <v>83</v>
      </c>
      <c r="I479" t="s">
        <v>18</v>
      </c>
    </row>
    <row r="480" spans="1:9" x14ac:dyDescent="0.2">
      <c r="A480" s="9">
        <v>44197</v>
      </c>
      <c r="B480" s="8">
        <v>43.08</v>
      </c>
      <c r="C480" s="8">
        <v>51.22</v>
      </c>
      <c r="D480" s="8">
        <v>42.12</v>
      </c>
      <c r="E480" s="8">
        <v>44.14</v>
      </c>
      <c r="F480" s="8">
        <v>37.21</v>
      </c>
      <c r="G480" s="10">
        <v>31035000</v>
      </c>
      <c r="H480" t="s">
        <v>83</v>
      </c>
      <c r="I480" t="s">
        <v>18</v>
      </c>
    </row>
    <row r="481" spans="1:9" x14ac:dyDescent="0.2">
      <c r="A481" s="9">
        <v>44166</v>
      </c>
      <c r="B481" s="8">
        <v>39.53</v>
      </c>
      <c r="C481" s="8">
        <v>44.3</v>
      </c>
      <c r="D481" s="8">
        <v>39.04</v>
      </c>
      <c r="E481" s="8">
        <v>43.44</v>
      </c>
      <c r="F481" s="8">
        <v>36.619999999999997</v>
      </c>
      <c r="G481" s="10">
        <v>35405900</v>
      </c>
      <c r="H481" t="s">
        <v>83</v>
      </c>
      <c r="I481" t="s">
        <v>18</v>
      </c>
    </row>
    <row r="482" spans="1:9" ht="18" x14ac:dyDescent="0.2">
      <c r="A482" s="5">
        <v>45962</v>
      </c>
      <c r="B482" s="6">
        <v>21.18</v>
      </c>
      <c r="C482" s="6">
        <v>22.09</v>
      </c>
      <c r="D482" s="6">
        <v>20.95</v>
      </c>
      <c r="E482" s="6">
        <v>21.4</v>
      </c>
      <c r="F482" s="6">
        <v>21.4</v>
      </c>
      <c r="G482" s="7">
        <v>73439300</v>
      </c>
      <c r="H482" t="s">
        <v>83</v>
      </c>
      <c r="I482" t="s">
        <v>19</v>
      </c>
    </row>
    <row r="483" spans="1:9" ht="18" x14ac:dyDescent="0.2">
      <c r="A483" s="5">
        <v>45931</v>
      </c>
      <c r="B483" s="6">
        <v>22.55</v>
      </c>
      <c r="C483" s="6">
        <v>23.7</v>
      </c>
      <c r="D483" s="6">
        <v>19.8</v>
      </c>
      <c r="E483" s="6">
        <v>21.36</v>
      </c>
      <c r="F483" s="6">
        <v>21.36</v>
      </c>
      <c r="G483" s="7">
        <v>381026800</v>
      </c>
      <c r="H483" t="s">
        <v>83</v>
      </c>
      <c r="I483" t="s">
        <v>19</v>
      </c>
    </row>
    <row r="484" spans="1:9" ht="18" x14ac:dyDescent="0.2">
      <c r="A484" s="5">
        <v>45901</v>
      </c>
      <c r="B484" s="6">
        <v>22.28</v>
      </c>
      <c r="C484" s="6">
        <v>23.26</v>
      </c>
      <c r="D484" s="6">
        <v>21.94</v>
      </c>
      <c r="E484" s="6">
        <v>22.61</v>
      </c>
      <c r="F484" s="6">
        <v>22.46</v>
      </c>
      <c r="G484" s="7">
        <v>241128900</v>
      </c>
      <c r="H484" t="s">
        <v>83</v>
      </c>
      <c r="I484" t="s">
        <v>19</v>
      </c>
    </row>
    <row r="485" spans="1:9" ht="18" x14ac:dyDescent="0.2">
      <c r="A485" s="5">
        <v>45870</v>
      </c>
      <c r="B485" s="6">
        <v>21.39</v>
      </c>
      <c r="C485" s="6">
        <v>22.98</v>
      </c>
      <c r="D485" s="6">
        <v>20.9</v>
      </c>
      <c r="E485" s="6">
        <v>22.6</v>
      </c>
      <c r="F485" s="6">
        <v>22.45</v>
      </c>
      <c r="G485" s="7">
        <v>209574800</v>
      </c>
      <c r="H485" t="s">
        <v>83</v>
      </c>
      <c r="I485" t="s">
        <v>19</v>
      </c>
    </row>
    <row r="486" spans="1:9" ht="18" x14ac:dyDescent="0.2">
      <c r="A486" s="5">
        <v>45839</v>
      </c>
      <c r="B486" s="6">
        <v>21.07</v>
      </c>
      <c r="C486" s="6">
        <v>23</v>
      </c>
      <c r="D486" s="6">
        <v>20.98</v>
      </c>
      <c r="E486" s="6">
        <v>21.81</v>
      </c>
      <c r="F486" s="6">
        <v>21.67</v>
      </c>
      <c r="G486" s="7">
        <v>185041300</v>
      </c>
      <c r="H486" t="s">
        <v>83</v>
      </c>
      <c r="I486" t="s">
        <v>19</v>
      </c>
    </row>
    <row r="487" spans="1:9" ht="18" x14ac:dyDescent="0.2">
      <c r="A487" s="5">
        <v>45809</v>
      </c>
      <c r="B487" s="6">
        <v>19.84</v>
      </c>
      <c r="C487" s="6">
        <v>21.31</v>
      </c>
      <c r="D487" s="6">
        <v>19.04</v>
      </c>
      <c r="E487" s="6">
        <v>21.2</v>
      </c>
      <c r="F487" s="6">
        <v>20.9</v>
      </c>
      <c r="G487" s="7">
        <v>112728900</v>
      </c>
      <c r="H487" t="s">
        <v>83</v>
      </c>
      <c r="I487" t="s">
        <v>19</v>
      </c>
    </row>
    <row r="488" spans="1:9" ht="18" x14ac:dyDescent="0.2">
      <c r="A488" s="5">
        <v>45778</v>
      </c>
      <c r="B488" s="6">
        <v>18.05</v>
      </c>
      <c r="C488" s="6">
        <v>20.58</v>
      </c>
      <c r="D488" s="6">
        <v>17.95</v>
      </c>
      <c r="E488" s="6">
        <v>19.88</v>
      </c>
      <c r="F488" s="6">
        <v>19.600000000000001</v>
      </c>
      <c r="G488" s="7">
        <v>90918700</v>
      </c>
      <c r="H488" t="s">
        <v>83</v>
      </c>
      <c r="I488" t="s">
        <v>19</v>
      </c>
    </row>
    <row r="489" spans="1:9" ht="18" x14ac:dyDescent="0.2">
      <c r="A489" s="5">
        <v>45748</v>
      </c>
      <c r="B489" s="6">
        <v>19.21</v>
      </c>
      <c r="C489" s="6">
        <v>19.66</v>
      </c>
      <c r="D489" s="6">
        <v>15.19</v>
      </c>
      <c r="E489" s="6">
        <v>18.079999999999998</v>
      </c>
      <c r="F489" s="6">
        <v>17.82</v>
      </c>
      <c r="G489" s="7">
        <v>142479600</v>
      </c>
      <c r="H489" t="s">
        <v>83</v>
      </c>
      <c r="I489" t="s">
        <v>19</v>
      </c>
    </row>
    <row r="490" spans="1:9" ht="18" x14ac:dyDescent="0.2">
      <c r="A490" s="5">
        <v>45717</v>
      </c>
      <c r="B490" s="6">
        <v>21.57</v>
      </c>
      <c r="C490" s="6">
        <v>21.77</v>
      </c>
      <c r="D490" s="6">
        <v>17.510000000000002</v>
      </c>
      <c r="E490" s="6">
        <v>19.420000000000002</v>
      </c>
      <c r="F490" s="6">
        <v>18.989999999999998</v>
      </c>
      <c r="G490" s="7">
        <v>151594800</v>
      </c>
      <c r="H490" t="s">
        <v>83</v>
      </c>
      <c r="I490" t="s">
        <v>19</v>
      </c>
    </row>
    <row r="491" spans="1:9" ht="18" x14ac:dyDescent="0.2">
      <c r="A491" s="5">
        <v>45689</v>
      </c>
      <c r="B491" s="6">
        <v>21.28</v>
      </c>
      <c r="C491" s="6">
        <v>22.44</v>
      </c>
      <c r="D491" s="6">
        <v>20.37</v>
      </c>
      <c r="E491" s="6">
        <v>21.54</v>
      </c>
      <c r="F491" s="6">
        <v>21.06</v>
      </c>
      <c r="G491" s="7">
        <v>96875800</v>
      </c>
      <c r="H491" t="s">
        <v>83</v>
      </c>
      <c r="I491" t="s">
        <v>19</v>
      </c>
    </row>
    <row r="492" spans="1:9" ht="18" x14ac:dyDescent="0.2">
      <c r="A492" s="5">
        <v>45658</v>
      </c>
      <c r="B492" s="6">
        <v>20.18</v>
      </c>
      <c r="C492" s="6">
        <v>22.11</v>
      </c>
      <c r="D492" s="6">
        <v>19.690000000000001</v>
      </c>
      <c r="E492" s="6">
        <v>21.89</v>
      </c>
      <c r="F492" s="6">
        <v>21.41</v>
      </c>
      <c r="G492" s="7">
        <v>122082000</v>
      </c>
      <c r="H492" t="s">
        <v>83</v>
      </c>
      <c r="I492" t="s">
        <v>19</v>
      </c>
    </row>
    <row r="493" spans="1:9" ht="18" x14ac:dyDescent="0.2">
      <c r="A493" s="5">
        <v>45627</v>
      </c>
      <c r="B493" s="6">
        <v>21.22</v>
      </c>
      <c r="C493" s="6">
        <v>21.25</v>
      </c>
      <c r="D493" s="6">
        <v>19.09</v>
      </c>
      <c r="E493" s="6">
        <v>20.14</v>
      </c>
      <c r="F493" s="6">
        <v>19.55</v>
      </c>
      <c r="G493" s="7">
        <v>126437300</v>
      </c>
      <c r="H493" t="s">
        <v>83</v>
      </c>
      <c r="I493" t="s">
        <v>19</v>
      </c>
    </row>
    <row r="494" spans="1:9" ht="18" x14ac:dyDescent="0.2">
      <c r="A494" s="5">
        <v>45597</v>
      </c>
      <c r="B494" s="6">
        <v>17.440000000000001</v>
      </c>
      <c r="C494" s="6">
        <v>21.72</v>
      </c>
      <c r="D494" s="6">
        <v>16.899999999999999</v>
      </c>
      <c r="E494" s="6">
        <v>21.13</v>
      </c>
      <c r="F494" s="6">
        <v>20.51</v>
      </c>
      <c r="G494" s="7">
        <v>133796200</v>
      </c>
      <c r="H494" t="s">
        <v>83</v>
      </c>
      <c r="I494" t="s">
        <v>19</v>
      </c>
    </row>
    <row r="495" spans="1:9" ht="18" x14ac:dyDescent="0.2">
      <c r="A495" s="5">
        <v>45566</v>
      </c>
      <c r="B495" s="6">
        <v>15.45</v>
      </c>
      <c r="C495" s="6">
        <v>17.93</v>
      </c>
      <c r="D495" s="6">
        <v>14.83</v>
      </c>
      <c r="E495" s="6">
        <v>17.329999999999998</v>
      </c>
      <c r="F495" s="6">
        <v>16.82</v>
      </c>
      <c r="G495" s="7">
        <v>150035500</v>
      </c>
      <c r="H495" t="s">
        <v>83</v>
      </c>
      <c r="I495" t="s">
        <v>19</v>
      </c>
    </row>
    <row r="496" spans="1:9" ht="18" x14ac:dyDescent="0.2">
      <c r="A496" s="5">
        <v>45536</v>
      </c>
      <c r="B496" s="6">
        <v>16.329999999999998</v>
      </c>
      <c r="C496" s="6">
        <v>16.600000000000001</v>
      </c>
      <c r="D496" s="6">
        <v>14.9</v>
      </c>
      <c r="E496" s="6">
        <v>15.53</v>
      </c>
      <c r="F496" s="6">
        <v>14.93</v>
      </c>
      <c r="G496" s="7">
        <v>131176000</v>
      </c>
      <c r="H496" t="s">
        <v>83</v>
      </c>
      <c r="I496" t="s">
        <v>19</v>
      </c>
    </row>
    <row r="497" spans="1:9" ht="18" x14ac:dyDescent="0.2">
      <c r="A497" s="5">
        <v>45505</v>
      </c>
      <c r="B497" s="6">
        <v>16.690000000000001</v>
      </c>
      <c r="C497" s="6">
        <v>16.77</v>
      </c>
      <c r="D497" s="6">
        <v>14.34</v>
      </c>
      <c r="E497" s="6">
        <v>16.59</v>
      </c>
      <c r="F497" s="6">
        <v>15.95</v>
      </c>
      <c r="G497" s="7">
        <v>94809400</v>
      </c>
      <c r="H497" t="s">
        <v>83</v>
      </c>
      <c r="I497" t="s">
        <v>19</v>
      </c>
    </row>
    <row r="498" spans="1:9" ht="18" x14ac:dyDescent="0.2">
      <c r="A498" s="5">
        <v>45474</v>
      </c>
      <c r="B498" s="6">
        <v>15.87</v>
      </c>
      <c r="C498" s="6">
        <v>17.46</v>
      </c>
      <c r="D498" s="6">
        <v>15.07</v>
      </c>
      <c r="E498" s="6">
        <v>16.73</v>
      </c>
      <c r="F498" s="6">
        <v>16.079999999999998</v>
      </c>
      <c r="G498" s="7">
        <v>157224300</v>
      </c>
      <c r="H498" t="s">
        <v>83</v>
      </c>
      <c r="I498" t="s">
        <v>19</v>
      </c>
    </row>
    <row r="499" spans="1:9" ht="18" x14ac:dyDescent="0.2">
      <c r="A499" s="5">
        <v>45444</v>
      </c>
      <c r="B499" s="6">
        <v>15.91</v>
      </c>
      <c r="C499" s="6">
        <v>16</v>
      </c>
      <c r="D499" s="6">
        <v>14.09</v>
      </c>
      <c r="E499" s="6">
        <v>15.77</v>
      </c>
      <c r="F499" s="6">
        <v>15</v>
      </c>
      <c r="G499" s="7">
        <v>141620700</v>
      </c>
      <c r="H499" t="s">
        <v>83</v>
      </c>
      <c r="I499" t="s">
        <v>19</v>
      </c>
    </row>
    <row r="500" spans="1:9" ht="18" x14ac:dyDescent="0.2">
      <c r="A500" s="5">
        <v>45413</v>
      </c>
      <c r="B500" s="6">
        <v>14.97</v>
      </c>
      <c r="C500" s="6">
        <v>16.28</v>
      </c>
      <c r="D500" s="6">
        <v>14.94</v>
      </c>
      <c r="E500" s="6">
        <v>15.84</v>
      </c>
      <c r="F500" s="6">
        <v>15.07</v>
      </c>
      <c r="G500" s="7">
        <v>124904900</v>
      </c>
      <c r="H500" t="s">
        <v>83</v>
      </c>
      <c r="I500" t="s">
        <v>19</v>
      </c>
    </row>
    <row r="501" spans="1:9" ht="18" x14ac:dyDescent="0.2">
      <c r="A501" s="5">
        <v>45383</v>
      </c>
      <c r="B501" s="6">
        <v>15.41</v>
      </c>
      <c r="C501" s="6">
        <v>15.44</v>
      </c>
      <c r="D501" s="6">
        <v>13.72</v>
      </c>
      <c r="E501" s="6">
        <v>14.92</v>
      </c>
      <c r="F501" s="6">
        <v>14.19</v>
      </c>
      <c r="G501" s="7">
        <v>122820500</v>
      </c>
      <c r="H501" t="s">
        <v>83</v>
      </c>
      <c r="I501" t="s">
        <v>19</v>
      </c>
    </row>
    <row r="502" spans="1:9" ht="18" x14ac:dyDescent="0.2">
      <c r="A502" s="5">
        <v>45352</v>
      </c>
      <c r="B502" s="6">
        <v>13.96</v>
      </c>
      <c r="C502" s="6">
        <v>15.49</v>
      </c>
      <c r="D502" s="6">
        <v>13.81</v>
      </c>
      <c r="E502" s="6">
        <v>15.4</v>
      </c>
      <c r="F502" s="6">
        <v>14.5</v>
      </c>
      <c r="G502" s="7">
        <v>135681200</v>
      </c>
      <c r="H502" t="s">
        <v>83</v>
      </c>
      <c r="I502" t="s">
        <v>19</v>
      </c>
    </row>
    <row r="503" spans="1:9" ht="18" x14ac:dyDescent="0.2">
      <c r="A503" s="5">
        <v>45323</v>
      </c>
      <c r="B503" s="6">
        <v>14.3</v>
      </c>
      <c r="C503" s="6">
        <v>14.4</v>
      </c>
      <c r="D503" s="6">
        <v>13.45</v>
      </c>
      <c r="E503" s="6">
        <v>14.1</v>
      </c>
      <c r="F503" s="6">
        <v>13.28</v>
      </c>
      <c r="G503" s="7">
        <v>136083400</v>
      </c>
      <c r="H503" t="s">
        <v>83</v>
      </c>
      <c r="I503" t="s">
        <v>19</v>
      </c>
    </row>
    <row r="504" spans="1:9" ht="18" x14ac:dyDescent="0.2">
      <c r="A504" s="5">
        <v>45292</v>
      </c>
      <c r="B504" s="6">
        <v>14.07</v>
      </c>
      <c r="C504" s="6">
        <v>15.37</v>
      </c>
      <c r="D504" s="6">
        <v>12.95</v>
      </c>
      <c r="E504" s="6">
        <v>14.24</v>
      </c>
      <c r="F504" s="6">
        <v>13.41</v>
      </c>
      <c r="G504" s="7">
        <v>189586500</v>
      </c>
      <c r="H504" t="s">
        <v>83</v>
      </c>
      <c r="I504" t="s">
        <v>19</v>
      </c>
    </row>
    <row r="505" spans="1:9" ht="18" x14ac:dyDescent="0.2">
      <c r="A505" s="5">
        <v>45261</v>
      </c>
      <c r="B505" s="6">
        <v>12.83</v>
      </c>
      <c r="C505" s="6">
        <v>14.5</v>
      </c>
      <c r="D505" s="6">
        <v>12.71</v>
      </c>
      <c r="E505" s="6">
        <v>14.16</v>
      </c>
      <c r="F505" s="6">
        <v>13.19</v>
      </c>
      <c r="G505" s="7">
        <v>175181900</v>
      </c>
      <c r="H505" t="s">
        <v>83</v>
      </c>
      <c r="I505" t="s">
        <v>19</v>
      </c>
    </row>
    <row r="506" spans="1:9" ht="18" x14ac:dyDescent="0.2">
      <c r="A506" s="5">
        <v>45231</v>
      </c>
      <c r="B506" s="6">
        <v>10.73</v>
      </c>
      <c r="C506" s="6">
        <v>12.94</v>
      </c>
      <c r="D506" s="6">
        <v>10.55</v>
      </c>
      <c r="E506" s="6">
        <v>12.79</v>
      </c>
      <c r="F506" s="6">
        <v>11.92</v>
      </c>
      <c r="G506" s="7">
        <v>196151700</v>
      </c>
      <c r="H506" t="s">
        <v>83</v>
      </c>
      <c r="I506" t="s">
        <v>19</v>
      </c>
    </row>
    <row r="507" spans="1:9" ht="18" x14ac:dyDescent="0.2">
      <c r="A507" s="5">
        <v>45200</v>
      </c>
      <c r="B507" s="6">
        <v>10.93</v>
      </c>
      <c r="C507" s="6">
        <v>11.49</v>
      </c>
      <c r="D507" s="6">
        <v>10.08</v>
      </c>
      <c r="E507" s="6">
        <v>10.75</v>
      </c>
      <c r="F507" s="6">
        <v>10.02</v>
      </c>
      <c r="G507" s="7">
        <v>174889200</v>
      </c>
      <c r="H507" t="s">
        <v>83</v>
      </c>
      <c r="I507" t="s">
        <v>19</v>
      </c>
    </row>
    <row r="508" spans="1:9" ht="18" x14ac:dyDescent="0.2">
      <c r="A508" s="5">
        <v>45170</v>
      </c>
      <c r="B508" s="6">
        <v>12.69</v>
      </c>
      <c r="C508" s="6">
        <v>12.86</v>
      </c>
      <c r="D508" s="6">
        <v>10.85</v>
      </c>
      <c r="E508" s="6">
        <v>11.02</v>
      </c>
      <c r="F508" s="6">
        <v>10.130000000000001</v>
      </c>
      <c r="G508" s="7">
        <v>130410700</v>
      </c>
      <c r="H508" t="s">
        <v>83</v>
      </c>
      <c r="I508" t="s">
        <v>19</v>
      </c>
    </row>
    <row r="509" spans="1:9" ht="18" x14ac:dyDescent="0.2">
      <c r="A509" s="5">
        <v>45139</v>
      </c>
      <c r="B509" s="6">
        <v>13.57</v>
      </c>
      <c r="C509" s="6">
        <v>13.82</v>
      </c>
      <c r="D509" s="6">
        <v>12.12</v>
      </c>
      <c r="E509" s="6">
        <v>12.55</v>
      </c>
      <c r="F509" s="6">
        <v>11.54</v>
      </c>
      <c r="G509" s="7">
        <v>120906600</v>
      </c>
      <c r="H509" t="s">
        <v>83</v>
      </c>
      <c r="I509" t="s">
        <v>19</v>
      </c>
    </row>
    <row r="510" spans="1:9" ht="18" x14ac:dyDescent="0.2">
      <c r="A510" s="5">
        <v>45108</v>
      </c>
      <c r="B510" s="6">
        <v>11.41</v>
      </c>
      <c r="C510" s="6">
        <v>13.96</v>
      </c>
      <c r="D510" s="6">
        <v>11.31</v>
      </c>
      <c r="E510" s="6">
        <v>13.63</v>
      </c>
      <c r="F510" s="6">
        <v>12.53</v>
      </c>
      <c r="G510" s="7">
        <v>181060600</v>
      </c>
      <c r="H510" t="s">
        <v>83</v>
      </c>
      <c r="I510" t="s">
        <v>19</v>
      </c>
    </row>
    <row r="511" spans="1:9" ht="18" x14ac:dyDescent="0.2">
      <c r="A511" s="5">
        <v>45078</v>
      </c>
      <c r="B511" s="6">
        <v>10.41</v>
      </c>
      <c r="C511" s="6">
        <v>12.26</v>
      </c>
      <c r="D511" s="6">
        <v>10.25</v>
      </c>
      <c r="E511" s="6">
        <v>11.27</v>
      </c>
      <c r="F511" s="6">
        <v>10.23</v>
      </c>
      <c r="G511" s="7">
        <v>236783600</v>
      </c>
      <c r="H511" t="s">
        <v>83</v>
      </c>
      <c r="I511" t="s">
        <v>19</v>
      </c>
    </row>
    <row r="512" spans="1:9" ht="18" x14ac:dyDescent="0.2">
      <c r="A512" s="5">
        <v>45047</v>
      </c>
      <c r="B512" s="6">
        <v>17.64</v>
      </c>
      <c r="C512" s="6">
        <v>17.82</v>
      </c>
      <c r="D512" s="6">
        <v>8.99</v>
      </c>
      <c r="E512" s="6">
        <v>10.31</v>
      </c>
      <c r="F512" s="6">
        <v>9.36</v>
      </c>
      <c r="G512" s="7">
        <v>461851200</v>
      </c>
      <c r="H512" t="s">
        <v>83</v>
      </c>
      <c r="I512" t="s">
        <v>19</v>
      </c>
    </row>
    <row r="513" spans="1:9" ht="18" x14ac:dyDescent="0.2">
      <c r="A513" s="5">
        <v>45017</v>
      </c>
      <c r="B513" s="6">
        <v>17.850000000000001</v>
      </c>
      <c r="C513" s="6">
        <v>18.989999999999998</v>
      </c>
      <c r="D513" s="6">
        <v>16.96</v>
      </c>
      <c r="E513" s="6">
        <v>17.55</v>
      </c>
      <c r="F513" s="6">
        <v>15.93</v>
      </c>
      <c r="G513" s="7">
        <v>89738500</v>
      </c>
      <c r="H513" t="s">
        <v>83</v>
      </c>
      <c r="I513" t="s">
        <v>19</v>
      </c>
    </row>
    <row r="514" spans="1:9" ht="18" x14ac:dyDescent="0.2">
      <c r="A514" s="5">
        <v>44986</v>
      </c>
      <c r="B514" s="6">
        <v>20.78</v>
      </c>
      <c r="C514" s="6">
        <v>22.88</v>
      </c>
      <c r="D514" s="6">
        <v>13.4</v>
      </c>
      <c r="E514" s="6">
        <v>17.78</v>
      </c>
      <c r="F514" s="6">
        <v>15.98</v>
      </c>
      <c r="G514" s="7">
        <v>343128300</v>
      </c>
      <c r="H514" t="s">
        <v>83</v>
      </c>
      <c r="I514" t="s">
        <v>19</v>
      </c>
    </row>
    <row r="515" spans="1:9" ht="18" x14ac:dyDescent="0.2">
      <c r="A515" s="5">
        <v>44958</v>
      </c>
      <c r="B515" s="6">
        <v>24.72</v>
      </c>
      <c r="C515" s="6">
        <v>24.9</v>
      </c>
      <c r="D515" s="6">
        <v>24.63</v>
      </c>
      <c r="E515" s="6">
        <v>24.77</v>
      </c>
      <c r="F515" s="6">
        <v>22.26</v>
      </c>
      <c r="G515" s="7">
        <v>60004300</v>
      </c>
      <c r="H515" t="s">
        <v>83</v>
      </c>
      <c r="I515" t="s">
        <v>19</v>
      </c>
    </row>
    <row r="516" spans="1:9" ht="18" x14ac:dyDescent="0.2">
      <c r="A516" s="5">
        <v>44927</v>
      </c>
      <c r="B516" s="6">
        <v>24.5</v>
      </c>
      <c r="C516" s="6">
        <v>24.79</v>
      </c>
      <c r="D516" s="6">
        <v>24.37</v>
      </c>
      <c r="E516" s="6">
        <v>24.73</v>
      </c>
      <c r="F516" s="6">
        <v>22.23</v>
      </c>
      <c r="G516" s="7">
        <v>84904400</v>
      </c>
      <c r="H516" t="s">
        <v>83</v>
      </c>
      <c r="I516" t="s">
        <v>19</v>
      </c>
    </row>
    <row r="517" spans="1:9" ht="18" x14ac:dyDescent="0.2">
      <c r="A517" s="5">
        <v>44896</v>
      </c>
      <c r="B517" s="6">
        <v>24.73</v>
      </c>
      <c r="C517" s="6">
        <v>24.76</v>
      </c>
      <c r="D517" s="6">
        <v>24.27</v>
      </c>
      <c r="E517" s="6">
        <v>24.5</v>
      </c>
      <c r="F517" s="6">
        <v>21.88</v>
      </c>
      <c r="G517" s="7">
        <v>100561700</v>
      </c>
      <c r="H517" t="s">
        <v>83</v>
      </c>
      <c r="I517" t="s">
        <v>19</v>
      </c>
    </row>
    <row r="518" spans="1:9" ht="18" x14ac:dyDescent="0.2">
      <c r="A518" s="5">
        <v>44866</v>
      </c>
      <c r="B518" s="6">
        <v>24.49</v>
      </c>
      <c r="C518" s="6">
        <v>24.92</v>
      </c>
      <c r="D518" s="6">
        <v>24.25</v>
      </c>
      <c r="E518" s="6">
        <v>24.85</v>
      </c>
      <c r="F518" s="6">
        <v>22.2</v>
      </c>
      <c r="G518" s="7">
        <v>147536200</v>
      </c>
      <c r="H518" t="s">
        <v>83</v>
      </c>
      <c r="I518" t="s">
        <v>19</v>
      </c>
    </row>
    <row r="519" spans="1:9" ht="18" x14ac:dyDescent="0.2">
      <c r="A519" s="5">
        <v>44835</v>
      </c>
      <c r="B519" s="6">
        <v>23.1</v>
      </c>
      <c r="C519" s="6">
        <v>24.53</v>
      </c>
      <c r="D519" s="6">
        <v>22.91</v>
      </c>
      <c r="E519" s="6">
        <v>24.51</v>
      </c>
      <c r="F519" s="6">
        <v>21.89</v>
      </c>
      <c r="G519" s="7">
        <v>105821400</v>
      </c>
      <c r="H519" t="s">
        <v>83</v>
      </c>
      <c r="I519" t="s">
        <v>19</v>
      </c>
    </row>
    <row r="520" spans="1:9" ht="18" x14ac:dyDescent="0.2">
      <c r="A520" s="5">
        <v>44805</v>
      </c>
      <c r="B520" s="6">
        <v>22.75</v>
      </c>
      <c r="C520" s="6">
        <v>23.65</v>
      </c>
      <c r="D520" s="6">
        <v>22.39</v>
      </c>
      <c r="E520" s="6">
        <v>22.9</v>
      </c>
      <c r="F520" s="6">
        <v>20.32</v>
      </c>
      <c r="G520" s="7">
        <v>81349700</v>
      </c>
      <c r="H520" t="s">
        <v>83</v>
      </c>
      <c r="I520" t="s">
        <v>19</v>
      </c>
    </row>
    <row r="521" spans="1:9" ht="18" x14ac:dyDescent="0.2">
      <c r="A521" s="5">
        <v>44774</v>
      </c>
      <c r="B521" s="6">
        <v>22.31</v>
      </c>
      <c r="C521" s="6">
        <v>23.36</v>
      </c>
      <c r="D521" s="6">
        <v>22.03</v>
      </c>
      <c r="E521" s="6">
        <v>22.62</v>
      </c>
      <c r="F521" s="6">
        <v>20.07</v>
      </c>
      <c r="G521" s="7">
        <v>53365200</v>
      </c>
      <c r="H521" t="s">
        <v>83</v>
      </c>
      <c r="I521" t="s">
        <v>19</v>
      </c>
    </row>
    <row r="522" spans="1:9" ht="18" x14ac:dyDescent="0.2">
      <c r="A522" s="5">
        <v>44743</v>
      </c>
      <c r="B522" s="6">
        <v>21.83</v>
      </c>
      <c r="C522" s="6">
        <v>22.65</v>
      </c>
      <c r="D522" s="6">
        <v>21.27</v>
      </c>
      <c r="E522" s="6">
        <v>22.36</v>
      </c>
      <c r="F522" s="6">
        <v>19.84</v>
      </c>
      <c r="G522" s="7">
        <v>55579600</v>
      </c>
      <c r="H522" t="s">
        <v>83</v>
      </c>
      <c r="I522" t="s">
        <v>19</v>
      </c>
    </row>
    <row r="523" spans="1:9" ht="18" x14ac:dyDescent="0.2">
      <c r="A523" s="5">
        <v>44713</v>
      </c>
      <c r="B523" s="6">
        <v>22.85</v>
      </c>
      <c r="C523" s="6">
        <v>23.03</v>
      </c>
      <c r="D523" s="6">
        <v>20.48</v>
      </c>
      <c r="E523" s="6">
        <v>21.86</v>
      </c>
      <c r="F523" s="6">
        <v>19.27</v>
      </c>
      <c r="G523" s="7">
        <v>94092900</v>
      </c>
      <c r="H523" t="s">
        <v>83</v>
      </c>
      <c r="I523" t="s">
        <v>19</v>
      </c>
    </row>
    <row r="524" spans="1:9" ht="18" x14ac:dyDescent="0.2">
      <c r="A524" s="5">
        <v>44682</v>
      </c>
      <c r="B524" s="6">
        <v>22.5</v>
      </c>
      <c r="C524" s="6">
        <v>23.11</v>
      </c>
      <c r="D524" s="6">
        <v>21.33</v>
      </c>
      <c r="E524" s="6">
        <v>22.83</v>
      </c>
      <c r="F524" s="6">
        <v>20.13</v>
      </c>
      <c r="G524" s="7">
        <v>108576600</v>
      </c>
      <c r="H524" t="s">
        <v>83</v>
      </c>
      <c r="I524" t="s">
        <v>19</v>
      </c>
    </row>
    <row r="525" spans="1:9" ht="18" x14ac:dyDescent="0.2">
      <c r="A525" s="5">
        <v>44652</v>
      </c>
      <c r="B525" s="6">
        <v>23.58</v>
      </c>
      <c r="C525" s="6">
        <v>23.66</v>
      </c>
      <c r="D525" s="6">
        <v>22.38</v>
      </c>
      <c r="E525" s="6">
        <v>22.38</v>
      </c>
      <c r="F525" s="6">
        <v>19.73</v>
      </c>
      <c r="G525" s="7">
        <v>124532600</v>
      </c>
      <c r="H525" t="s">
        <v>83</v>
      </c>
      <c r="I525" t="s">
        <v>19</v>
      </c>
    </row>
    <row r="526" spans="1:9" ht="18" x14ac:dyDescent="0.2">
      <c r="A526" s="5">
        <v>44621</v>
      </c>
      <c r="B526" s="6">
        <v>23.37</v>
      </c>
      <c r="C526" s="6">
        <v>23.97</v>
      </c>
      <c r="D526" s="6">
        <v>22.85</v>
      </c>
      <c r="E526" s="6">
        <v>23.49</v>
      </c>
      <c r="F526" s="6">
        <v>20.58</v>
      </c>
      <c r="G526" s="7">
        <v>304286200</v>
      </c>
      <c r="H526" t="s">
        <v>83</v>
      </c>
      <c r="I526" t="s">
        <v>19</v>
      </c>
    </row>
    <row r="527" spans="1:9" ht="18" x14ac:dyDescent="0.2">
      <c r="A527" s="5">
        <v>44593</v>
      </c>
      <c r="B527" s="6">
        <v>17.09</v>
      </c>
      <c r="C527" s="6">
        <v>24.24</v>
      </c>
      <c r="D527" s="6">
        <v>16.78</v>
      </c>
      <c r="E527" s="6">
        <v>23.48</v>
      </c>
      <c r="F527" s="6">
        <v>20.57</v>
      </c>
      <c r="G527" s="7">
        <v>197290800</v>
      </c>
      <c r="H527" t="s">
        <v>83</v>
      </c>
      <c r="I527" t="s">
        <v>19</v>
      </c>
    </row>
    <row r="528" spans="1:9" ht="18" x14ac:dyDescent="0.2">
      <c r="A528" s="5">
        <v>44562</v>
      </c>
      <c r="B528" s="6">
        <v>16.59</v>
      </c>
      <c r="C528" s="6">
        <v>18.72</v>
      </c>
      <c r="D528" s="6">
        <v>16.510000000000002</v>
      </c>
      <c r="E528" s="6">
        <v>17.11</v>
      </c>
      <c r="F528" s="6">
        <v>14.99</v>
      </c>
      <c r="G528" s="7">
        <v>120389300</v>
      </c>
      <c r="H528" t="s">
        <v>83</v>
      </c>
      <c r="I528" t="s">
        <v>19</v>
      </c>
    </row>
    <row r="529" spans="1:9" ht="18" x14ac:dyDescent="0.2">
      <c r="A529" s="5">
        <v>44531</v>
      </c>
      <c r="B529" s="6">
        <v>16.5</v>
      </c>
      <c r="C529" s="6">
        <v>16.91</v>
      </c>
      <c r="D529" s="6">
        <v>15</v>
      </c>
      <c r="E529" s="6">
        <v>16.329999999999998</v>
      </c>
      <c r="F529" s="6">
        <v>14.18</v>
      </c>
      <c r="G529" s="7">
        <v>95412000</v>
      </c>
      <c r="H529" t="s">
        <v>83</v>
      </c>
      <c r="I529" t="s">
        <v>19</v>
      </c>
    </row>
    <row r="530" spans="1:9" ht="18" x14ac:dyDescent="0.2">
      <c r="A530" s="5">
        <v>44501</v>
      </c>
      <c r="B530" s="6">
        <v>17.14</v>
      </c>
      <c r="C530" s="6">
        <v>17.63</v>
      </c>
      <c r="D530" s="6">
        <v>16.03</v>
      </c>
      <c r="E530" s="6">
        <v>16.13</v>
      </c>
      <c r="F530" s="6">
        <v>14</v>
      </c>
      <c r="G530" s="7">
        <v>68307700</v>
      </c>
      <c r="H530" t="s">
        <v>83</v>
      </c>
      <c r="I530" t="s">
        <v>19</v>
      </c>
    </row>
    <row r="531" spans="1:9" ht="18" x14ac:dyDescent="0.2">
      <c r="A531" s="5">
        <v>44470</v>
      </c>
      <c r="B531" s="6">
        <v>16.37</v>
      </c>
      <c r="C531" s="6">
        <v>17.350000000000001</v>
      </c>
      <c r="D531" s="6">
        <v>16</v>
      </c>
      <c r="E531" s="6">
        <v>16.97</v>
      </c>
      <c r="F531" s="6">
        <v>14.73</v>
      </c>
      <c r="G531" s="7">
        <v>84483700</v>
      </c>
      <c r="H531" t="s">
        <v>83</v>
      </c>
      <c r="I531" t="s">
        <v>19</v>
      </c>
    </row>
    <row r="532" spans="1:9" ht="18" x14ac:dyDescent="0.2">
      <c r="A532" s="5">
        <v>44440</v>
      </c>
      <c r="B532" s="6">
        <v>16.45</v>
      </c>
      <c r="C532" s="6">
        <v>16.809999999999999</v>
      </c>
      <c r="D532" s="6">
        <v>14.67</v>
      </c>
      <c r="E532" s="6">
        <v>16.29</v>
      </c>
      <c r="F532" s="6">
        <v>14</v>
      </c>
      <c r="G532" s="7">
        <v>88637600</v>
      </c>
      <c r="H532" t="s">
        <v>83</v>
      </c>
      <c r="I532" t="s">
        <v>19</v>
      </c>
    </row>
    <row r="533" spans="1:9" ht="18" x14ac:dyDescent="0.2">
      <c r="A533" s="5">
        <v>44409</v>
      </c>
      <c r="B533" s="6">
        <v>15.51</v>
      </c>
      <c r="C533" s="6">
        <v>16.75</v>
      </c>
      <c r="D533" s="6">
        <v>15.08</v>
      </c>
      <c r="E533" s="6">
        <v>16.39</v>
      </c>
      <c r="F533" s="6">
        <v>14.09</v>
      </c>
      <c r="G533" s="7">
        <v>84108900</v>
      </c>
      <c r="H533" t="s">
        <v>83</v>
      </c>
      <c r="I533" t="s">
        <v>19</v>
      </c>
    </row>
    <row r="534" spans="1:9" ht="18" x14ac:dyDescent="0.2">
      <c r="A534" s="5">
        <v>44378</v>
      </c>
      <c r="B534" s="6">
        <v>17.38</v>
      </c>
      <c r="C534" s="6">
        <v>17.48</v>
      </c>
      <c r="D534" s="6">
        <v>14.85</v>
      </c>
      <c r="E534" s="6">
        <v>15.45</v>
      </c>
      <c r="F534" s="6">
        <v>13.28</v>
      </c>
      <c r="G534" s="7">
        <v>135579200</v>
      </c>
      <c r="H534" t="s">
        <v>83</v>
      </c>
      <c r="I534" t="s">
        <v>19</v>
      </c>
    </row>
    <row r="535" spans="1:9" ht="18" x14ac:dyDescent="0.2">
      <c r="A535" s="5">
        <v>44348</v>
      </c>
      <c r="B535" s="6">
        <v>19.13</v>
      </c>
      <c r="C535" s="6">
        <v>19.45</v>
      </c>
      <c r="D535" s="6">
        <v>16.489999999999998</v>
      </c>
      <c r="E535" s="6">
        <v>17.28</v>
      </c>
      <c r="F535" s="6">
        <v>14.74</v>
      </c>
      <c r="G535" s="7">
        <v>102645700</v>
      </c>
      <c r="H535" t="s">
        <v>83</v>
      </c>
      <c r="I535" t="s">
        <v>19</v>
      </c>
    </row>
    <row r="536" spans="1:9" ht="18" x14ac:dyDescent="0.2">
      <c r="A536" s="5">
        <v>44317</v>
      </c>
      <c r="B536" s="6">
        <v>18.559999999999999</v>
      </c>
      <c r="C536" s="6">
        <v>19.440000000000001</v>
      </c>
      <c r="D536" s="6">
        <v>18.079999999999998</v>
      </c>
      <c r="E536" s="6">
        <v>19.07</v>
      </c>
      <c r="F536" s="6">
        <v>16.260000000000002</v>
      </c>
      <c r="G536" s="7">
        <v>86758500</v>
      </c>
      <c r="H536" t="s">
        <v>83</v>
      </c>
      <c r="I536" t="s">
        <v>19</v>
      </c>
    </row>
    <row r="537" spans="1:9" ht="18" x14ac:dyDescent="0.2">
      <c r="A537" s="5">
        <v>44287</v>
      </c>
      <c r="B537" s="6">
        <v>17</v>
      </c>
      <c r="C537" s="6">
        <v>18.73</v>
      </c>
      <c r="D537" s="6">
        <v>16.46</v>
      </c>
      <c r="E537" s="6">
        <v>18.29</v>
      </c>
      <c r="F537" s="6">
        <v>15.6</v>
      </c>
      <c r="G537" s="7">
        <v>103414100</v>
      </c>
      <c r="H537" t="s">
        <v>83</v>
      </c>
      <c r="I537" t="s">
        <v>19</v>
      </c>
    </row>
    <row r="538" spans="1:9" ht="18" x14ac:dyDescent="0.2">
      <c r="A538" s="5">
        <v>44256</v>
      </c>
      <c r="B538" s="6">
        <v>16.579999999999998</v>
      </c>
      <c r="C538" s="6">
        <v>18.420000000000002</v>
      </c>
      <c r="D538" s="6">
        <v>15.93</v>
      </c>
      <c r="E538" s="6">
        <v>16.91</v>
      </c>
      <c r="F538" s="6">
        <v>14.29</v>
      </c>
      <c r="G538" s="7">
        <v>182232500</v>
      </c>
      <c r="H538" t="s">
        <v>83</v>
      </c>
      <c r="I538" t="s">
        <v>19</v>
      </c>
    </row>
    <row r="539" spans="1:9" ht="18" x14ac:dyDescent="0.2">
      <c r="A539" s="5">
        <v>44228</v>
      </c>
      <c r="B539" s="6">
        <v>13.98</v>
      </c>
      <c r="C539" s="6">
        <v>17.260000000000002</v>
      </c>
      <c r="D539" s="6">
        <v>13.74</v>
      </c>
      <c r="E539" s="6">
        <v>16.2</v>
      </c>
      <c r="F539" s="6">
        <v>13.69</v>
      </c>
      <c r="G539" s="7">
        <v>154169300</v>
      </c>
      <c r="H539" t="s">
        <v>83</v>
      </c>
      <c r="I539" t="s">
        <v>19</v>
      </c>
    </row>
    <row r="540" spans="1:9" ht="18" x14ac:dyDescent="0.2">
      <c r="A540" s="5">
        <v>44197</v>
      </c>
      <c r="B540" s="6">
        <v>12.86</v>
      </c>
      <c r="C540" s="6">
        <v>15.48</v>
      </c>
      <c r="D540" s="6">
        <v>12.55</v>
      </c>
      <c r="E540" s="6">
        <v>13.89</v>
      </c>
      <c r="F540" s="6">
        <v>11.74</v>
      </c>
      <c r="G540" s="7">
        <v>109112500</v>
      </c>
      <c r="H540" t="s">
        <v>83</v>
      </c>
      <c r="I540" t="s">
        <v>19</v>
      </c>
    </row>
    <row r="541" spans="1:9" ht="18" x14ac:dyDescent="0.2">
      <c r="A541" s="5">
        <v>44166</v>
      </c>
      <c r="B541" s="6">
        <v>12.53</v>
      </c>
      <c r="C541" s="6">
        <v>13.39</v>
      </c>
      <c r="D541" s="6">
        <v>12.17</v>
      </c>
      <c r="E541" s="6">
        <v>12.76</v>
      </c>
      <c r="F541" s="6">
        <v>10.66</v>
      </c>
      <c r="G541" s="7">
        <v>107964600</v>
      </c>
      <c r="H541" t="s">
        <v>83</v>
      </c>
      <c r="I541" t="s">
        <v>19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26200-B4BE-7F4F-8893-91C2089C84E8}">
  <dimension ref="A3:E7"/>
  <sheetViews>
    <sheetView workbookViewId="0">
      <selection activeCell="A4" sqref="A4:E6"/>
    </sheetView>
  </sheetViews>
  <sheetFormatPr baseColWidth="10" defaultRowHeight="16" x14ac:dyDescent="0.2"/>
  <cols>
    <col min="1" max="1" width="13" bestFit="1" customWidth="1"/>
    <col min="2" max="2" width="12.6640625" bestFit="1" customWidth="1"/>
    <col min="3" max="3" width="18.5" bestFit="1" customWidth="1"/>
    <col min="4" max="4" width="14" bestFit="1" customWidth="1"/>
    <col min="5" max="5" width="13.5" bestFit="1" customWidth="1"/>
  </cols>
  <sheetData>
    <row r="3" spans="1:5" x14ac:dyDescent="0.2">
      <c r="A3" s="13" t="s">
        <v>74</v>
      </c>
      <c r="B3" t="s">
        <v>76</v>
      </c>
      <c r="C3" t="s">
        <v>79</v>
      </c>
      <c r="D3" t="s">
        <v>78</v>
      </c>
      <c r="E3" t="s">
        <v>77</v>
      </c>
    </row>
    <row r="4" spans="1:5" x14ac:dyDescent="0.2">
      <c r="A4" s="14" t="s">
        <v>72</v>
      </c>
      <c r="B4">
        <v>60</v>
      </c>
      <c r="C4" s="15">
        <v>36.436000000000007</v>
      </c>
      <c r="D4" s="15">
        <v>40.644833333333345</v>
      </c>
      <c r="E4" s="15">
        <v>35.896333333333331</v>
      </c>
    </row>
    <row r="5" spans="1:5" x14ac:dyDescent="0.2">
      <c r="A5" s="14" t="s">
        <v>71</v>
      </c>
      <c r="B5">
        <v>60</v>
      </c>
      <c r="C5" s="15">
        <v>172.13899999999995</v>
      </c>
      <c r="D5" s="15">
        <v>188.1765</v>
      </c>
      <c r="E5" s="15">
        <v>169.16166666666669</v>
      </c>
    </row>
    <row r="6" spans="1:5" x14ac:dyDescent="0.2">
      <c r="A6" s="14" t="s">
        <v>73</v>
      </c>
      <c r="B6">
        <v>60</v>
      </c>
      <c r="C6" s="15">
        <v>50.782666666666657</v>
      </c>
      <c r="D6" s="15">
        <v>56.390166666666659</v>
      </c>
      <c r="E6" s="15">
        <v>49.51133333333334</v>
      </c>
    </row>
    <row r="7" spans="1:5" x14ac:dyDescent="0.2">
      <c r="A7" s="14" t="s">
        <v>75</v>
      </c>
      <c r="B7">
        <v>180</v>
      </c>
      <c r="C7">
        <v>86.452555555555591</v>
      </c>
      <c r="D7">
        <v>95.070499999999996</v>
      </c>
      <c r="E7">
        <v>84.856444444444449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09C4D-C81A-BA48-875B-F95AAC9676FE}">
  <dimension ref="A1:Y582"/>
  <sheetViews>
    <sheetView workbookViewId="0">
      <selection activeCell="Q128" sqref="Q128"/>
    </sheetView>
  </sheetViews>
  <sheetFormatPr baseColWidth="10" defaultRowHeight="16" x14ac:dyDescent="0.2"/>
  <cols>
    <col min="1" max="1" width="11.33203125" bestFit="1" customWidth="1"/>
    <col min="12" max="12" width="11.33203125" bestFit="1" customWidth="1"/>
  </cols>
  <sheetData>
    <row r="1" spans="1:21" x14ac:dyDescent="0.2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L1" s="4" t="s">
        <v>7</v>
      </c>
      <c r="M1" t="s">
        <v>21</v>
      </c>
      <c r="N1" t="s">
        <v>22</v>
      </c>
      <c r="O1" t="s">
        <v>23</v>
      </c>
      <c r="P1" s="8" t="s">
        <v>14</v>
      </c>
      <c r="Q1" s="8" t="s">
        <v>15</v>
      </c>
      <c r="R1" s="8" t="s">
        <v>16</v>
      </c>
      <c r="S1" t="s">
        <v>17</v>
      </c>
      <c r="T1" t="s">
        <v>18</v>
      </c>
      <c r="U1" t="s">
        <v>19</v>
      </c>
    </row>
    <row r="2" spans="1:21" ht="18" x14ac:dyDescent="0.2">
      <c r="A2" s="5">
        <v>45962</v>
      </c>
      <c r="B2" s="6">
        <v>311</v>
      </c>
      <c r="C2" s="6">
        <v>322.25</v>
      </c>
      <c r="D2" s="6">
        <v>301.23</v>
      </c>
      <c r="E2" s="6">
        <v>303.61</v>
      </c>
      <c r="F2" s="6">
        <v>303.61</v>
      </c>
      <c r="G2" s="7">
        <v>76928700</v>
      </c>
      <c r="L2" s="5">
        <v>45962</v>
      </c>
      <c r="M2">
        <f t="shared" ref="M2:M33" si="0">(F2-F3)/F3</f>
        <v>-1.9379219017473595E-2</v>
      </c>
      <c r="N2">
        <f t="shared" ref="N2:N33" si="1">(F68-F69)/F69</f>
        <v>-1.5715622076707268E-2</v>
      </c>
      <c r="O2">
        <f t="shared" ref="O2:O33" si="2">(F136-F137)/F137</f>
        <v>-2.2075820619509901E-2</v>
      </c>
      <c r="P2">
        <f t="shared" ref="P2:P33" si="3">(F201-F202)/F202</f>
        <v>3.0033637674195101E-2</v>
      </c>
      <c r="Q2">
        <f t="shared" ref="Q2:Q33" si="4">(F266-F267)/F267</f>
        <v>3.1241830065359483E-2</v>
      </c>
      <c r="R2">
        <f t="shared" ref="R2:R33" si="5">(F330-F331)/F331</f>
        <v>2.4647098364328798E-3</v>
      </c>
      <c r="S2">
        <f t="shared" ref="S2:S33" si="6">(F394-F395)/F395</f>
        <v>1.0396361273554219E-2</v>
      </c>
      <c r="T2">
        <f t="shared" ref="T2:T33" si="7">(F458-F459)/F459</f>
        <v>-2.0905923344947702E-2</v>
      </c>
      <c r="U2">
        <f t="shared" ref="U2:U33" si="8">(F523-F524)/F524</f>
        <v>1.8726591760299227E-3</v>
      </c>
    </row>
    <row r="3" spans="1:21" ht="18" x14ac:dyDescent="0.2">
      <c r="A3" s="5">
        <v>45931</v>
      </c>
      <c r="B3" s="6">
        <v>313.97000000000003</v>
      </c>
      <c r="C3" s="6">
        <v>314.58999999999997</v>
      </c>
      <c r="D3" s="6">
        <v>290.54000000000002</v>
      </c>
      <c r="E3" s="6">
        <v>311.12</v>
      </c>
      <c r="F3" s="6">
        <v>309.61</v>
      </c>
      <c r="G3" s="7">
        <v>189429800</v>
      </c>
      <c r="L3" s="5">
        <v>45931</v>
      </c>
      <c r="M3">
        <f t="shared" si="0"/>
        <v>-1.3666772857597846E-2</v>
      </c>
      <c r="N3">
        <f t="shared" si="1"/>
        <v>4.191033138401571E-2</v>
      </c>
      <c r="O3">
        <f t="shared" si="2"/>
        <v>3.7658911009834505E-2</v>
      </c>
      <c r="P3">
        <f t="shared" si="3"/>
        <v>-5.751811594202897E-2</v>
      </c>
      <c r="Q3">
        <f t="shared" si="4"/>
        <v>0.12781954887218047</v>
      </c>
      <c r="R3">
        <f t="shared" si="5"/>
        <v>-2.3840769903761948E-2</v>
      </c>
      <c r="S3">
        <f t="shared" si="6"/>
        <v>-0.1080329199026312</v>
      </c>
      <c r="T3">
        <f t="shared" si="7"/>
        <v>-7.8980210376181248E-2</v>
      </c>
      <c r="U3">
        <f t="shared" si="8"/>
        <v>-4.8975957257346457E-2</v>
      </c>
    </row>
    <row r="4" spans="1:21" ht="18" x14ac:dyDescent="0.2">
      <c r="A4" s="5">
        <v>45901</v>
      </c>
      <c r="B4" s="6">
        <v>300.26</v>
      </c>
      <c r="C4" s="6">
        <v>318.01</v>
      </c>
      <c r="D4" s="6">
        <v>291.44</v>
      </c>
      <c r="E4" s="6">
        <v>315.43</v>
      </c>
      <c r="F4" s="6">
        <v>313.89999999999998</v>
      </c>
      <c r="G4" s="7">
        <v>182562300</v>
      </c>
      <c r="L4" s="5">
        <v>45901</v>
      </c>
      <c r="M4">
        <f t="shared" si="0"/>
        <v>4.6472863048406449E-2</v>
      </c>
      <c r="N4">
        <f t="shared" si="1"/>
        <v>1.6646848989298382E-2</v>
      </c>
      <c r="O4">
        <f t="shared" si="2"/>
        <v>2.5962839916328282E-2</v>
      </c>
      <c r="P4">
        <f t="shared" si="3"/>
        <v>-2.666960546616709E-2</v>
      </c>
      <c r="Q4">
        <f t="shared" si="4"/>
        <v>-2.9197080291970892E-2</v>
      </c>
      <c r="R4">
        <f t="shared" si="5"/>
        <v>-1.1459459459459484E-2</v>
      </c>
      <c r="S4">
        <f t="shared" si="6"/>
        <v>-2.717636445647283E-2</v>
      </c>
      <c r="T4">
        <f t="shared" si="7"/>
        <v>-1.6482553042258419E-2</v>
      </c>
      <c r="U4">
        <f t="shared" si="8"/>
        <v>4.4543429844104957E-4</v>
      </c>
    </row>
    <row r="5" spans="1:21" ht="18" x14ac:dyDescent="0.2">
      <c r="A5" s="5">
        <v>45870</v>
      </c>
      <c r="B5" s="6">
        <v>290.39999999999998</v>
      </c>
      <c r="C5" s="6">
        <v>302.95</v>
      </c>
      <c r="D5" s="6">
        <v>284.24</v>
      </c>
      <c r="E5" s="6">
        <v>301.42</v>
      </c>
      <c r="F5" s="6">
        <v>299.95999999999998</v>
      </c>
      <c r="G5" s="7">
        <v>148828400</v>
      </c>
      <c r="L5" s="5">
        <v>45870</v>
      </c>
      <c r="M5">
        <f t="shared" si="0"/>
        <v>2.239340127475372E-2</v>
      </c>
      <c r="N5">
        <f t="shared" si="1"/>
        <v>7.3388640714741604E-2</v>
      </c>
      <c r="O5">
        <f t="shared" si="2"/>
        <v>1.9187358916478572E-2</v>
      </c>
      <c r="P5">
        <f t="shared" si="3"/>
        <v>0.10121359223300957</v>
      </c>
      <c r="Q5">
        <f t="shared" si="4"/>
        <v>4.455075497084772E-2</v>
      </c>
      <c r="R5">
        <f t="shared" si="5"/>
        <v>7.1097730430754985E-2</v>
      </c>
      <c r="S5">
        <f t="shared" si="6"/>
        <v>0.15453716963936992</v>
      </c>
      <c r="T5">
        <f t="shared" si="7"/>
        <v>8.175265553869504E-2</v>
      </c>
      <c r="U5">
        <f t="shared" si="8"/>
        <v>3.5994462390401362E-2</v>
      </c>
    </row>
    <row r="6" spans="1:21" ht="18" x14ac:dyDescent="0.2">
      <c r="A6" s="5">
        <v>45839</v>
      </c>
      <c r="B6" s="6">
        <v>290.89</v>
      </c>
      <c r="C6" s="6">
        <v>301.29000000000002</v>
      </c>
      <c r="D6" s="6">
        <v>280.31</v>
      </c>
      <c r="E6" s="6">
        <v>296.24</v>
      </c>
      <c r="F6" s="6">
        <v>293.39</v>
      </c>
      <c r="G6" s="7">
        <v>198593200</v>
      </c>
      <c r="L6" s="5">
        <v>45839</v>
      </c>
      <c r="M6">
        <f t="shared" si="0"/>
        <v>2.1837559208693166E-2</v>
      </c>
      <c r="N6">
        <f t="shared" si="1"/>
        <v>4.9166310389054486E-3</v>
      </c>
      <c r="O6">
        <f t="shared" si="2"/>
        <v>6.3099444724886425E-3</v>
      </c>
      <c r="P6">
        <f t="shared" si="3"/>
        <v>1.980198019801991E-2</v>
      </c>
      <c r="Q6">
        <f t="shared" si="4"/>
        <v>0.14694787379972565</v>
      </c>
      <c r="R6">
        <f t="shared" si="5"/>
        <v>1.6717683070402656E-2</v>
      </c>
      <c r="S6">
        <f t="shared" si="6"/>
        <v>-5.3095053095052651E-3</v>
      </c>
      <c r="T6">
        <f t="shared" si="7"/>
        <v>3.2510771641206353E-2</v>
      </c>
      <c r="U6">
        <f t="shared" si="8"/>
        <v>3.6842105263158044E-2</v>
      </c>
    </row>
    <row r="7" spans="1:21" ht="18" x14ac:dyDescent="0.2">
      <c r="A7" s="5">
        <v>45809</v>
      </c>
      <c r="B7" s="6">
        <v>263.02</v>
      </c>
      <c r="C7" s="6">
        <v>292.64999999999998</v>
      </c>
      <c r="D7" s="6">
        <v>260.31</v>
      </c>
      <c r="E7" s="6">
        <v>289.91000000000003</v>
      </c>
      <c r="F7" s="6">
        <v>287.12</v>
      </c>
      <c r="G7" s="7">
        <v>174361400</v>
      </c>
      <c r="L7" s="5">
        <v>45809</v>
      </c>
      <c r="M7">
        <f t="shared" si="0"/>
        <v>9.8141207068002861E-2</v>
      </c>
      <c r="N7">
        <f t="shared" si="1"/>
        <v>7.219802887921152E-2</v>
      </c>
      <c r="O7">
        <f t="shared" si="2"/>
        <v>7.7362338545207313E-2</v>
      </c>
      <c r="P7">
        <f t="shared" si="3"/>
        <v>7.6759061833688566E-2</v>
      </c>
      <c r="Q7">
        <f t="shared" si="4"/>
        <v>4.4786814761734142E-2</v>
      </c>
      <c r="R7">
        <f t="shared" si="5"/>
        <v>0.1028304336535965</v>
      </c>
      <c r="S7">
        <f t="shared" si="6"/>
        <v>8.1967213114754009E-2</v>
      </c>
      <c r="T7">
        <f t="shared" si="7"/>
        <v>0.10615251299826703</v>
      </c>
      <c r="U7">
        <f t="shared" si="8"/>
        <v>6.632653061224475E-2</v>
      </c>
    </row>
    <row r="8" spans="1:21" ht="18" x14ac:dyDescent="0.2">
      <c r="A8" s="5">
        <v>45778</v>
      </c>
      <c r="B8" s="6">
        <v>242.84</v>
      </c>
      <c r="C8" s="6">
        <v>269.52</v>
      </c>
      <c r="D8" s="6">
        <v>242.17</v>
      </c>
      <c r="E8" s="6">
        <v>264</v>
      </c>
      <c r="F8" s="6">
        <v>261.45999999999998</v>
      </c>
      <c r="G8" s="7">
        <v>165122600</v>
      </c>
      <c r="L8" s="5">
        <v>45778</v>
      </c>
      <c r="M8">
        <f t="shared" si="0"/>
        <v>8.5842435317081231E-2</v>
      </c>
      <c r="N8">
        <f t="shared" si="1"/>
        <v>0.10651787978696431</v>
      </c>
      <c r="O8">
        <f t="shared" si="2"/>
        <v>5.3121420389461535E-2</v>
      </c>
      <c r="P8">
        <f t="shared" si="3"/>
        <v>6.2588501840838306E-2</v>
      </c>
      <c r="Q8">
        <f t="shared" si="4"/>
        <v>6.222645099904859E-2</v>
      </c>
      <c r="R8">
        <f t="shared" si="5"/>
        <v>3.0230069555912127E-2</v>
      </c>
      <c r="S8">
        <f t="shared" si="6"/>
        <v>3.8713433270266495E-2</v>
      </c>
      <c r="T8">
        <f t="shared" si="7"/>
        <v>5.3159936116814931E-2</v>
      </c>
      <c r="U8">
        <f t="shared" si="8"/>
        <v>9.988776655443328E-2</v>
      </c>
    </row>
    <row r="9" spans="1:21" ht="18" x14ac:dyDescent="0.2">
      <c r="A9" s="5">
        <v>45748</v>
      </c>
      <c r="B9" s="6">
        <v>242.62</v>
      </c>
      <c r="C9" s="6">
        <v>247.25</v>
      </c>
      <c r="D9" s="6">
        <v>202.16</v>
      </c>
      <c r="E9" s="6">
        <v>244.62</v>
      </c>
      <c r="F9" s="6">
        <v>240.79</v>
      </c>
      <c r="G9" s="7">
        <v>287378000</v>
      </c>
      <c r="L9" s="5">
        <v>45748</v>
      </c>
      <c r="M9">
        <f t="shared" si="0"/>
        <v>-2.7747867141556196E-3</v>
      </c>
      <c r="N9">
        <f t="shared" si="1"/>
        <v>-3.8292682926829275E-2</v>
      </c>
      <c r="O9">
        <f t="shared" si="2"/>
        <v>-1.0904970967285032E-2</v>
      </c>
      <c r="P9">
        <f t="shared" si="3"/>
        <v>-7.4200314630309336E-2</v>
      </c>
      <c r="Q9">
        <f t="shared" si="4"/>
        <v>-7.839354612416706E-2</v>
      </c>
      <c r="R9">
        <f t="shared" si="5"/>
        <v>-6.8295114656031775E-2</v>
      </c>
      <c r="S9">
        <f t="shared" si="6"/>
        <v>-9.2577918647649304E-2</v>
      </c>
      <c r="T9">
        <f t="shared" si="7"/>
        <v>-9.7962543733278548E-2</v>
      </c>
      <c r="U9">
        <f t="shared" si="8"/>
        <v>-6.1611374407582846E-2</v>
      </c>
    </row>
    <row r="10" spans="1:21" ht="18" x14ac:dyDescent="0.2">
      <c r="A10" s="5">
        <v>45717</v>
      </c>
      <c r="B10" s="6">
        <v>264</v>
      </c>
      <c r="C10" s="6">
        <v>266.32</v>
      </c>
      <c r="D10" s="6">
        <v>224.23</v>
      </c>
      <c r="E10" s="6">
        <v>245.3</v>
      </c>
      <c r="F10" s="6">
        <v>241.46</v>
      </c>
      <c r="G10" s="7">
        <v>265181900</v>
      </c>
      <c r="L10" s="5">
        <v>45717</v>
      </c>
      <c r="M10">
        <f t="shared" si="0"/>
        <v>-7.3090211132437591E-2</v>
      </c>
      <c r="N10">
        <f t="shared" si="1"/>
        <v>-9.472289688672994E-2</v>
      </c>
      <c r="O10">
        <f t="shared" si="2"/>
        <v>-7.8799739073711753E-2</v>
      </c>
      <c r="P10">
        <f t="shared" si="3"/>
        <v>-9.834515366430252E-2</v>
      </c>
      <c r="Q10">
        <f t="shared" si="4"/>
        <v>-8.1951376589921049E-2</v>
      </c>
      <c r="R10">
        <f t="shared" si="5"/>
        <v>-0.10205908683974937</v>
      </c>
      <c r="S10">
        <f t="shared" si="6"/>
        <v>-0.11230949589683469</v>
      </c>
      <c r="T10">
        <f t="shared" si="7"/>
        <v>-7.0225794106391015E-2</v>
      </c>
      <c r="U10">
        <f t="shared" si="8"/>
        <v>-9.8290598290598316E-2</v>
      </c>
    </row>
    <row r="11" spans="1:21" ht="18" x14ac:dyDescent="0.2">
      <c r="A11" s="5">
        <v>45689</v>
      </c>
      <c r="B11" s="6">
        <v>261.83</v>
      </c>
      <c r="C11" s="6">
        <v>280.25</v>
      </c>
      <c r="D11" s="6">
        <v>253.35</v>
      </c>
      <c r="E11" s="6">
        <v>264.64999999999998</v>
      </c>
      <c r="F11" s="6">
        <v>260.5</v>
      </c>
      <c r="G11" s="7">
        <v>156634700</v>
      </c>
      <c r="L11" s="5">
        <v>45689</v>
      </c>
      <c r="M11">
        <f t="shared" si="0"/>
        <v>-4.813569682151555E-3</v>
      </c>
      <c r="N11">
        <f t="shared" si="1"/>
        <v>-4.3965706748736611E-3</v>
      </c>
      <c r="O11">
        <f t="shared" si="2"/>
        <v>-6.0943983402489479E-3</v>
      </c>
      <c r="P11">
        <f t="shared" si="3"/>
        <v>-1.8789144050104439E-2</v>
      </c>
      <c r="Q11">
        <f t="shared" si="4"/>
        <v>-4.4461538461538469E-2</v>
      </c>
      <c r="R11">
        <f t="shared" si="5"/>
        <v>-2.6579520697167732E-2</v>
      </c>
      <c r="S11">
        <f t="shared" si="6"/>
        <v>-1.0785109590629789E-2</v>
      </c>
      <c r="T11">
        <f t="shared" si="7"/>
        <v>-6.5951742627345933E-2</v>
      </c>
      <c r="U11">
        <f t="shared" si="8"/>
        <v>-1.6347501167678722E-2</v>
      </c>
    </row>
    <row r="12" spans="1:21" ht="18" x14ac:dyDescent="0.2">
      <c r="A12" s="5">
        <v>45658</v>
      </c>
      <c r="B12" s="6">
        <v>240.92</v>
      </c>
      <c r="C12" s="6">
        <v>270.82</v>
      </c>
      <c r="D12" s="6">
        <v>238.74</v>
      </c>
      <c r="E12" s="6">
        <v>267.3</v>
      </c>
      <c r="F12" s="6">
        <v>261.76</v>
      </c>
      <c r="G12" s="7">
        <v>209826800</v>
      </c>
      <c r="L12" s="5">
        <v>45658</v>
      </c>
      <c r="M12">
        <f t="shared" si="0"/>
        <v>0.11510607480616844</v>
      </c>
      <c r="N12">
        <f t="shared" si="1"/>
        <v>5.9385188635305182E-2</v>
      </c>
      <c r="O12">
        <f t="shared" si="2"/>
        <v>0.12174545454545461</v>
      </c>
      <c r="P12">
        <f t="shared" si="3"/>
        <v>5.713585090730746E-2</v>
      </c>
      <c r="Q12">
        <f t="shared" si="4"/>
        <v>0.10020311442112394</v>
      </c>
      <c r="R12">
        <f t="shared" si="5"/>
        <v>9.7560975609756059E-2</v>
      </c>
      <c r="S12">
        <f t="shared" si="6"/>
        <v>5.1841912661624787E-2</v>
      </c>
      <c r="T12">
        <f t="shared" si="7"/>
        <v>6.6526877621044644E-2</v>
      </c>
      <c r="U12">
        <f t="shared" si="8"/>
        <v>9.5140664961636798E-2</v>
      </c>
    </row>
    <row r="13" spans="1:21" ht="18" x14ac:dyDescent="0.2">
      <c r="A13" s="5">
        <v>45627</v>
      </c>
      <c r="B13" s="6">
        <v>249.55</v>
      </c>
      <c r="C13" s="6">
        <v>250.25</v>
      </c>
      <c r="D13" s="6">
        <v>229.53</v>
      </c>
      <c r="E13" s="6">
        <v>239.71</v>
      </c>
      <c r="F13" s="6">
        <v>234.74</v>
      </c>
      <c r="G13" s="7">
        <v>181266200</v>
      </c>
      <c r="L13" s="5">
        <v>45627</v>
      </c>
      <c r="M13">
        <f t="shared" si="0"/>
        <v>-4.0075243313977195E-2</v>
      </c>
      <c r="N13">
        <f t="shared" si="1"/>
        <v>-7.4967686342094011E-2</v>
      </c>
      <c r="O13">
        <f t="shared" si="2"/>
        <v>-7.2450080949811174E-2</v>
      </c>
      <c r="P13">
        <f t="shared" si="3"/>
        <v>-0.12036238136324415</v>
      </c>
      <c r="Q13">
        <f t="shared" si="4"/>
        <v>-0.14389218953774824</v>
      </c>
      <c r="R13">
        <f t="shared" si="5"/>
        <v>-7.9665492957746428E-2</v>
      </c>
      <c r="S13">
        <f t="shared" si="6"/>
        <v>-0.10384783559247923</v>
      </c>
      <c r="T13">
        <f t="shared" si="7"/>
        <v>-9.7229392531405931E-2</v>
      </c>
      <c r="U13">
        <f t="shared" si="8"/>
        <v>-4.6806435884934217E-2</v>
      </c>
    </row>
    <row r="14" spans="1:21" ht="18" x14ac:dyDescent="0.2">
      <c r="A14" s="5">
        <v>45597</v>
      </c>
      <c r="B14" s="6">
        <v>223.56</v>
      </c>
      <c r="C14" s="6">
        <v>254.31</v>
      </c>
      <c r="D14" s="6">
        <v>219.17</v>
      </c>
      <c r="E14" s="6">
        <v>249.72</v>
      </c>
      <c r="F14" s="6">
        <v>244.54</v>
      </c>
      <c r="G14" s="7">
        <v>188851300</v>
      </c>
      <c r="L14" s="5">
        <v>45597</v>
      </c>
      <c r="M14">
        <f t="shared" si="0"/>
        <v>0.1321296296296296</v>
      </c>
      <c r="N14">
        <f t="shared" si="1"/>
        <v>0.13607440039158106</v>
      </c>
      <c r="O14">
        <f t="shared" si="2"/>
        <v>0.17315606204495101</v>
      </c>
      <c r="P14">
        <f t="shared" si="3"/>
        <v>0.10040351293614994</v>
      </c>
      <c r="Q14">
        <f t="shared" si="4"/>
        <v>0.13391390075583315</v>
      </c>
      <c r="R14">
        <f t="shared" si="5"/>
        <v>0.10748233000243715</v>
      </c>
      <c r="S14">
        <f t="shared" si="6"/>
        <v>0.12493851451057565</v>
      </c>
      <c r="T14">
        <f t="shared" si="7"/>
        <v>0.16243248649729941</v>
      </c>
      <c r="U14">
        <f t="shared" si="8"/>
        <v>0.21938168846611183</v>
      </c>
    </row>
    <row r="15" spans="1:21" ht="18" x14ac:dyDescent="0.2">
      <c r="A15" s="5">
        <v>45566</v>
      </c>
      <c r="B15" s="6">
        <v>208.9</v>
      </c>
      <c r="C15" s="6">
        <v>226.75</v>
      </c>
      <c r="D15" s="6">
        <v>204.34</v>
      </c>
      <c r="E15" s="6">
        <v>221.92</v>
      </c>
      <c r="F15" s="6">
        <v>216</v>
      </c>
      <c r="G15" s="7">
        <v>178337400</v>
      </c>
      <c r="L15" s="5">
        <v>45566</v>
      </c>
      <c r="M15">
        <f t="shared" si="0"/>
        <v>5.2477707937436099E-2</v>
      </c>
      <c r="N15">
        <f t="shared" si="1"/>
        <v>6.0747663551401765E-2</v>
      </c>
      <c r="O15">
        <f t="shared" si="2"/>
        <v>0.1493541931962889</v>
      </c>
      <c r="P15">
        <f t="shared" si="3"/>
        <v>2.8313400048816297E-2</v>
      </c>
      <c r="Q15">
        <f t="shared" si="4"/>
        <v>7.6977526101574975E-2</v>
      </c>
      <c r="R15">
        <f t="shared" si="5"/>
        <v>6.6241413150147973E-3</v>
      </c>
      <c r="S15">
        <f t="shared" si="6"/>
        <v>-3.7860861334595396E-2</v>
      </c>
      <c r="T15">
        <f t="shared" si="7"/>
        <v>0.10255844728716361</v>
      </c>
      <c r="U15">
        <f t="shared" si="8"/>
        <v>0.12659075686537177</v>
      </c>
    </row>
    <row r="16" spans="1:21" ht="18" x14ac:dyDescent="0.2">
      <c r="A16" s="5">
        <v>45536</v>
      </c>
      <c r="B16" s="6">
        <v>222.3</v>
      </c>
      <c r="C16" s="6">
        <v>224.1</v>
      </c>
      <c r="D16" s="6">
        <v>200.61</v>
      </c>
      <c r="E16" s="6">
        <v>210.86</v>
      </c>
      <c r="F16" s="6">
        <v>205.23</v>
      </c>
      <c r="G16" s="7">
        <v>206487600</v>
      </c>
      <c r="L16" s="5">
        <v>45536</v>
      </c>
      <c r="M16">
        <f t="shared" si="0"/>
        <v>-6.2020109689213988E-2</v>
      </c>
      <c r="N16">
        <f t="shared" si="1"/>
        <v>-2.6289180990899875E-2</v>
      </c>
      <c r="O16">
        <f t="shared" si="2"/>
        <v>-2.6562776695590578E-2</v>
      </c>
      <c r="P16">
        <f t="shared" si="3"/>
        <v>3.6746692797647862E-3</v>
      </c>
      <c r="Q16">
        <f t="shared" si="4"/>
        <v>4.9006868386857264E-2</v>
      </c>
      <c r="R16">
        <f t="shared" si="5"/>
        <v>-2.6045400238948708E-2</v>
      </c>
      <c r="S16">
        <f t="shared" si="6"/>
        <v>6.3947633434038254E-2</v>
      </c>
      <c r="T16">
        <f t="shared" si="7"/>
        <v>-3.8388123011664797E-2</v>
      </c>
      <c r="U16">
        <f t="shared" si="8"/>
        <v>-6.3949843260188058E-2</v>
      </c>
    </row>
    <row r="17" spans="1:21" ht="18" x14ac:dyDescent="0.2">
      <c r="A17" s="5">
        <v>45505</v>
      </c>
      <c r="B17" s="6">
        <v>213.2</v>
      </c>
      <c r="C17" s="6">
        <v>225.48</v>
      </c>
      <c r="D17" s="6">
        <v>190.9</v>
      </c>
      <c r="E17" s="6">
        <v>224.8</v>
      </c>
      <c r="F17" s="6">
        <v>218.8</v>
      </c>
      <c r="G17" s="7">
        <v>172435900</v>
      </c>
      <c r="L17" s="5">
        <v>45505</v>
      </c>
      <c r="M17">
        <f t="shared" si="0"/>
        <v>6.2239052335178284E-2</v>
      </c>
      <c r="N17">
        <f t="shared" si="1"/>
        <v>1.0989010989010981E-2</v>
      </c>
      <c r="O17">
        <f t="shared" si="2"/>
        <v>-1.4657127900889955E-2</v>
      </c>
      <c r="P17">
        <f t="shared" si="3"/>
        <v>8.1501605334650101E-3</v>
      </c>
      <c r="Q17">
        <f t="shared" si="4"/>
        <v>4.1972920696324842E-2</v>
      </c>
      <c r="R17">
        <f t="shared" si="5"/>
        <v>-5.2293796054195115E-3</v>
      </c>
      <c r="S17">
        <f t="shared" si="6"/>
        <v>1.5207667731629364E-2</v>
      </c>
      <c r="T17">
        <f t="shared" si="7"/>
        <v>-4.0886899918633E-2</v>
      </c>
      <c r="U17">
        <f t="shared" si="8"/>
        <v>-8.0845771144277996E-3</v>
      </c>
    </row>
    <row r="18" spans="1:21" ht="18" x14ac:dyDescent="0.2">
      <c r="A18" s="5">
        <v>45474</v>
      </c>
      <c r="B18" s="6">
        <v>202.84</v>
      </c>
      <c r="C18" s="6">
        <v>217.56</v>
      </c>
      <c r="D18" s="6">
        <v>202.1</v>
      </c>
      <c r="E18" s="6">
        <v>212.8</v>
      </c>
      <c r="F18" s="6">
        <v>205.98</v>
      </c>
      <c r="G18" s="7">
        <v>197445800</v>
      </c>
      <c r="L18" s="5">
        <v>45474</v>
      </c>
      <c r="M18">
        <f t="shared" si="0"/>
        <v>5.2099295127183518E-2</v>
      </c>
      <c r="N18">
        <f t="shared" si="1"/>
        <v>1.9807140995569589E-2</v>
      </c>
      <c r="O18">
        <f t="shared" si="2"/>
        <v>-8.7168758716870917E-4</v>
      </c>
      <c r="P18">
        <f t="shared" si="3"/>
        <v>0.17192474674384964</v>
      </c>
      <c r="Q18">
        <f t="shared" si="4"/>
        <v>9.0027408812987625E-2</v>
      </c>
      <c r="R18">
        <f t="shared" si="5"/>
        <v>0.15039649986327591</v>
      </c>
      <c r="S18">
        <f t="shared" si="6"/>
        <v>0.28068739770867429</v>
      </c>
      <c r="T18">
        <f t="shared" si="7"/>
        <v>0.19146873485215704</v>
      </c>
      <c r="U18">
        <f t="shared" si="8"/>
        <v>7.1999999999999884E-2</v>
      </c>
    </row>
    <row r="19" spans="1:21" ht="18" x14ac:dyDescent="0.2">
      <c r="A19" s="5">
        <v>45444</v>
      </c>
      <c r="B19" s="6">
        <v>202.31</v>
      </c>
      <c r="C19" s="6">
        <v>202.6</v>
      </c>
      <c r="D19" s="6">
        <v>190.88</v>
      </c>
      <c r="E19" s="6">
        <v>202.26</v>
      </c>
      <c r="F19" s="6">
        <v>195.78</v>
      </c>
      <c r="G19" s="7">
        <v>174847900</v>
      </c>
      <c r="L19" s="5">
        <v>45444</v>
      </c>
      <c r="M19">
        <f t="shared" si="0"/>
        <v>-1.7845306684341729E-3</v>
      </c>
      <c r="N19">
        <f t="shared" si="1"/>
        <v>-5.4432348367029777E-3</v>
      </c>
      <c r="O19">
        <f t="shared" si="2"/>
        <v>-3.1282586027111528E-3</v>
      </c>
      <c r="P19">
        <f t="shared" si="3"/>
        <v>-2.483770815692923E-2</v>
      </c>
      <c r="Q19">
        <f t="shared" si="4"/>
        <v>-3.9899202015959206E-3</v>
      </c>
      <c r="R19">
        <f t="shared" si="5"/>
        <v>4.2771599657827203E-2</v>
      </c>
      <c r="S19">
        <f t="shared" si="6"/>
        <v>2.4610336341263097E-3</v>
      </c>
      <c r="T19">
        <f t="shared" si="7"/>
        <v>1.3261296660117858E-2</v>
      </c>
      <c r="U19">
        <f t="shared" si="8"/>
        <v>-4.6449900464499193E-3</v>
      </c>
    </row>
    <row r="20" spans="1:21" ht="18" x14ac:dyDescent="0.2">
      <c r="A20" s="5">
        <v>45413</v>
      </c>
      <c r="B20" s="6">
        <v>192.27</v>
      </c>
      <c r="C20" s="6">
        <v>205.88</v>
      </c>
      <c r="D20" s="6">
        <v>188.46</v>
      </c>
      <c r="E20" s="6">
        <v>202.63</v>
      </c>
      <c r="F20" s="6">
        <v>196.13</v>
      </c>
      <c r="G20" s="7">
        <v>195900400</v>
      </c>
      <c r="L20" s="5">
        <v>45413</v>
      </c>
      <c r="M20">
        <f t="shared" si="0"/>
        <v>6.2920008671146679E-2</v>
      </c>
      <c r="N20">
        <f t="shared" si="1"/>
        <v>8.03696443573228E-2</v>
      </c>
      <c r="O20">
        <f t="shared" si="2"/>
        <v>1.0182584269662891E-2</v>
      </c>
      <c r="P20">
        <f t="shared" si="3"/>
        <v>2.6361529548087962E-2</v>
      </c>
      <c r="Q20">
        <f t="shared" si="4"/>
        <v>2.1230967188505142E-2</v>
      </c>
      <c r="R20">
        <f t="shared" si="5"/>
        <v>5.4472477064219527E-3</v>
      </c>
      <c r="S20">
        <f t="shared" si="6"/>
        <v>0.1091901728844404</v>
      </c>
      <c r="T20">
        <f t="shared" si="7"/>
        <v>5.9313215400624383E-2</v>
      </c>
      <c r="U20">
        <f t="shared" si="8"/>
        <v>6.2015503875969047E-2</v>
      </c>
    </row>
    <row r="21" spans="1:21" ht="18" x14ac:dyDescent="0.2">
      <c r="A21" s="5">
        <v>45383</v>
      </c>
      <c r="B21" s="6">
        <v>199.99</v>
      </c>
      <c r="C21" s="6">
        <v>200.94</v>
      </c>
      <c r="D21" s="6">
        <v>179.2</v>
      </c>
      <c r="E21" s="6">
        <v>191.74</v>
      </c>
      <c r="F21" s="6">
        <v>184.52</v>
      </c>
      <c r="G21" s="7">
        <v>224749100</v>
      </c>
      <c r="L21" s="5">
        <v>45383</v>
      </c>
      <c r="M21">
        <f t="shared" si="0"/>
        <v>-4.2697795071335871E-2</v>
      </c>
      <c r="N21">
        <f t="shared" si="1"/>
        <v>-2.405028696365134E-2</v>
      </c>
      <c r="O21">
        <f t="shared" si="2"/>
        <v>2.353998203054811E-2</v>
      </c>
      <c r="P21">
        <f t="shared" si="3"/>
        <v>-1.0604757810260747E-2</v>
      </c>
      <c r="Q21">
        <f t="shared" si="4"/>
        <v>-7.480158730158723E-2</v>
      </c>
      <c r="R21">
        <f t="shared" si="5"/>
        <v>-3.6730185031759136E-2</v>
      </c>
      <c r="S21">
        <f t="shared" si="6"/>
        <v>-0.11470919929112289</v>
      </c>
      <c r="T21">
        <f t="shared" si="7"/>
        <v>-6.0376436079198216E-2</v>
      </c>
      <c r="U21">
        <f t="shared" si="8"/>
        <v>-2.137931034482762E-2</v>
      </c>
    </row>
    <row r="22" spans="1:21" ht="18" x14ac:dyDescent="0.2">
      <c r="A22" s="5">
        <v>45352</v>
      </c>
      <c r="B22" s="6">
        <v>185.7</v>
      </c>
      <c r="C22" s="6">
        <v>200.72</v>
      </c>
      <c r="D22" s="6">
        <v>184.27</v>
      </c>
      <c r="E22" s="6">
        <v>200.3</v>
      </c>
      <c r="F22" s="6">
        <v>192.75</v>
      </c>
      <c r="G22" s="7">
        <v>166255900</v>
      </c>
      <c r="L22" s="5">
        <v>45352</v>
      </c>
      <c r="M22">
        <f t="shared" si="0"/>
        <v>7.6514939960904707E-2</v>
      </c>
      <c r="N22">
        <f t="shared" si="1"/>
        <v>0.10644088297550659</v>
      </c>
      <c r="O22">
        <f t="shared" si="2"/>
        <v>4.9801924165251851E-2</v>
      </c>
      <c r="P22">
        <f t="shared" si="3"/>
        <v>8.354037267080737E-2</v>
      </c>
      <c r="Q22">
        <f t="shared" si="4"/>
        <v>0.11356606274856387</v>
      </c>
      <c r="R22">
        <f t="shared" si="5"/>
        <v>0.13085571517801367</v>
      </c>
      <c r="S22">
        <f t="shared" si="6"/>
        <v>0.11878154289834181</v>
      </c>
      <c r="T22">
        <f t="shared" si="7"/>
        <v>0.11228928765633484</v>
      </c>
      <c r="U22">
        <f t="shared" si="8"/>
        <v>9.1867469879518118E-2</v>
      </c>
    </row>
    <row r="23" spans="1:21" ht="18" x14ac:dyDescent="0.2">
      <c r="A23" s="5">
        <v>45323</v>
      </c>
      <c r="B23" s="6">
        <v>173.64</v>
      </c>
      <c r="C23" s="6">
        <v>186.43</v>
      </c>
      <c r="D23" s="6">
        <v>171.43</v>
      </c>
      <c r="E23" s="6">
        <v>186.06</v>
      </c>
      <c r="F23" s="6">
        <v>179.05</v>
      </c>
      <c r="G23" s="7">
        <v>154730900</v>
      </c>
      <c r="L23" s="5">
        <v>45323</v>
      </c>
      <c r="M23">
        <f t="shared" si="0"/>
        <v>7.3698728711921457E-2</v>
      </c>
      <c r="N23">
        <f t="shared" si="1"/>
        <v>1.5039901780233334E-2</v>
      </c>
      <c r="O23">
        <f t="shared" si="2"/>
        <v>0.10783699059561121</v>
      </c>
      <c r="P23">
        <f t="shared" si="3"/>
        <v>2.8028651510433951E-3</v>
      </c>
      <c r="Q23">
        <f t="shared" si="4"/>
        <v>-6.0800996057273293E-2</v>
      </c>
      <c r="R23">
        <f t="shared" si="5"/>
        <v>-5.629236663719412E-2</v>
      </c>
      <c r="S23">
        <f t="shared" si="6"/>
        <v>-9.7445908573287818E-2</v>
      </c>
      <c r="T23">
        <f t="shared" si="7"/>
        <v>-5.9094397544128985E-2</v>
      </c>
      <c r="U23">
        <f t="shared" si="8"/>
        <v>-9.6942580164057247E-3</v>
      </c>
    </row>
    <row r="24" spans="1:21" ht="18" x14ac:dyDescent="0.2">
      <c r="A24" s="5">
        <v>45292</v>
      </c>
      <c r="B24" s="6">
        <v>169.09</v>
      </c>
      <c r="C24" s="6">
        <v>178.3</v>
      </c>
      <c r="D24" s="6">
        <v>164.3</v>
      </c>
      <c r="E24" s="6">
        <v>174.36</v>
      </c>
      <c r="F24" s="6">
        <v>166.76</v>
      </c>
      <c r="G24" s="7">
        <v>231656800</v>
      </c>
      <c r="L24" s="5">
        <v>45292</v>
      </c>
      <c r="M24">
        <f t="shared" si="0"/>
        <v>2.5016903313049316E-2</v>
      </c>
      <c r="N24">
        <f t="shared" si="1"/>
        <v>9.9194048357098673E-3</v>
      </c>
      <c r="O24">
        <f t="shared" si="2"/>
        <v>1.9603665033027951E-2</v>
      </c>
      <c r="P24">
        <f t="shared" si="3"/>
        <v>2.8107432854464804E-3</v>
      </c>
      <c r="Q24">
        <f t="shared" si="4"/>
        <v>-4.5175351694075709E-2</v>
      </c>
      <c r="R24">
        <f t="shared" si="5"/>
        <v>3.8461538461539223E-3</v>
      </c>
      <c r="S24">
        <f t="shared" si="6"/>
        <v>-2.768111357165454E-2</v>
      </c>
      <c r="T24">
        <f t="shared" si="7"/>
        <v>-4.4954800879550359E-2</v>
      </c>
      <c r="U24">
        <f t="shared" si="8"/>
        <v>1.6679302501895425E-2</v>
      </c>
    </row>
    <row r="25" spans="1:21" ht="18" x14ac:dyDescent="0.2">
      <c r="A25" s="5">
        <v>45261</v>
      </c>
      <c r="B25" s="6">
        <v>155.82</v>
      </c>
      <c r="C25" s="6">
        <v>170.69</v>
      </c>
      <c r="D25" s="6">
        <v>155.82</v>
      </c>
      <c r="E25" s="6">
        <v>170.1</v>
      </c>
      <c r="F25" s="6">
        <v>162.69</v>
      </c>
      <c r="G25" s="7">
        <v>184769100</v>
      </c>
      <c r="L25" s="5">
        <v>45261</v>
      </c>
      <c r="M25">
        <f t="shared" si="0"/>
        <v>8.9831189710610909E-2</v>
      </c>
      <c r="N25">
        <f t="shared" si="1"/>
        <v>0.11318150448585222</v>
      </c>
      <c r="O25">
        <f t="shared" si="2"/>
        <v>0.11366872330327478</v>
      </c>
      <c r="P25">
        <f t="shared" si="3"/>
        <v>0.19122023809523825</v>
      </c>
      <c r="Q25">
        <f t="shared" si="4"/>
        <v>0.23428711176326725</v>
      </c>
      <c r="R25">
        <f t="shared" si="5"/>
        <v>0.16874135546334701</v>
      </c>
      <c r="S25">
        <f t="shared" si="6"/>
        <v>0.29416581371545542</v>
      </c>
      <c r="T25">
        <f t="shared" si="7"/>
        <v>0.24634591961023128</v>
      </c>
      <c r="U25">
        <f t="shared" si="8"/>
        <v>0.1065436241610738</v>
      </c>
    </row>
    <row r="26" spans="1:21" ht="18" x14ac:dyDescent="0.2">
      <c r="A26" s="5">
        <v>45231</v>
      </c>
      <c r="B26" s="6">
        <v>139.25</v>
      </c>
      <c r="C26" s="6">
        <v>156.13</v>
      </c>
      <c r="D26" s="6">
        <v>138.47</v>
      </c>
      <c r="E26" s="6">
        <v>156.08000000000001</v>
      </c>
      <c r="F26" s="6">
        <v>149.28</v>
      </c>
      <c r="G26" s="7">
        <v>162193400</v>
      </c>
      <c r="L26" s="5">
        <v>45231</v>
      </c>
      <c r="M26">
        <f t="shared" si="0"/>
        <v>0.13065212451715519</v>
      </c>
      <c r="N26">
        <f t="shared" si="1"/>
        <v>0.15734824281150164</v>
      </c>
      <c r="O26">
        <f t="shared" si="2"/>
        <v>0.12104283054003716</v>
      </c>
      <c r="P26">
        <f t="shared" si="3"/>
        <v>0.22126306224443421</v>
      </c>
      <c r="Q26">
        <f t="shared" si="4"/>
        <v>0.14762840303115346</v>
      </c>
      <c r="R26">
        <f t="shared" si="5"/>
        <v>0.13322884012539193</v>
      </c>
      <c r="S26">
        <f t="shared" si="6"/>
        <v>0.24617346938775506</v>
      </c>
      <c r="T26">
        <f t="shared" si="7"/>
        <v>0.15511783327470993</v>
      </c>
      <c r="U26">
        <f t="shared" si="8"/>
        <v>0.18962075848303397</v>
      </c>
    </row>
    <row r="27" spans="1:21" ht="18" x14ac:dyDescent="0.2">
      <c r="A27" s="5">
        <v>45200</v>
      </c>
      <c r="B27" s="6">
        <v>144.83000000000001</v>
      </c>
      <c r="C27" s="6">
        <v>153.11000000000001</v>
      </c>
      <c r="D27" s="6">
        <v>135.19</v>
      </c>
      <c r="E27" s="6">
        <v>139.06</v>
      </c>
      <c r="F27" s="6">
        <v>132.03</v>
      </c>
      <c r="G27" s="7">
        <v>244013000</v>
      </c>
      <c r="L27" s="5">
        <v>45200</v>
      </c>
      <c r="M27">
        <f t="shared" si="0"/>
        <v>-4.1106834192751809E-2</v>
      </c>
      <c r="N27">
        <f t="shared" si="1"/>
        <v>-3.7663335895465042E-2</v>
      </c>
      <c r="O27">
        <f t="shared" si="2"/>
        <v>-2.6670119109269655E-2</v>
      </c>
      <c r="P27">
        <f t="shared" si="3"/>
        <v>-5.0474547023295867E-2</v>
      </c>
      <c r="Q27">
        <f t="shared" si="4"/>
        <v>-3.6245604544224951E-2</v>
      </c>
      <c r="R27">
        <f t="shared" si="5"/>
        <v>-8.5470085470085028E-3</v>
      </c>
      <c r="S27">
        <f t="shared" si="6"/>
        <v>-0.10583941605839417</v>
      </c>
      <c r="T27">
        <f t="shared" si="7"/>
        <v>-0.11598258706467653</v>
      </c>
      <c r="U27">
        <f t="shared" si="8"/>
        <v>-1.0858835143139308E-2</v>
      </c>
    </row>
    <row r="28" spans="1:21" ht="18" x14ac:dyDescent="0.2">
      <c r="A28" s="5">
        <v>45170</v>
      </c>
      <c r="B28" s="6">
        <v>146.09</v>
      </c>
      <c r="C28" s="6">
        <v>150.25</v>
      </c>
      <c r="D28" s="6">
        <v>142.65</v>
      </c>
      <c r="E28" s="6">
        <v>145.02000000000001</v>
      </c>
      <c r="F28" s="6">
        <v>137.69</v>
      </c>
      <c r="G28" s="7">
        <v>172239300</v>
      </c>
      <c r="L28" s="5">
        <v>45170</v>
      </c>
      <c r="M28">
        <f t="shared" si="0"/>
        <v>-8.9253580940042397E-3</v>
      </c>
      <c r="N28">
        <f t="shared" si="1"/>
        <v>-3.7009622501850484E-2</v>
      </c>
      <c r="O28">
        <f t="shared" si="2"/>
        <v>-2.5826446280992105E-3</v>
      </c>
      <c r="P28">
        <f t="shared" si="3"/>
        <v>-4.6090534979423906E-2</v>
      </c>
      <c r="Q28">
        <f t="shared" si="4"/>
        <v>-0.13641672506423741</v>
      </c>
      <c r="R28">
        <f t="shared" si="5"/>
        <v>-4.8076923076923107E-2</v>
      </c>
      <c r="S28">
        <f t="shared" si="6"/>
        <v>-7.4324324324324245E-2</v>
      </c>
      <c r="T28">
        <f t="shared" si="7"/>
        <v>-5.5658627087200622E-3</v>
      </c>
      <c r="U28">
        <f t="shared" si="8"/>
        <v>-0.12218370883882136</v>
      </c>
    </row>
    <row r="29" spans="1:21" ht="18" x14ac:dyDescent="0.2">
      <c r="A29" s="5">
        <v>45139</v>
      </c>
      <c r="B29" s="6">
        <v>157.43</v>
      </c>
      <c r="C29" s="6">
        <v>158</v>
      </c>
      <c r="D29" s="6">
        <v>145.46</v>
      </c>
      <c r="E29" s="6">
        <v>146.33000000000001</v>
      </c>
      <c r="F29" s="6">
        <v>138.93</v>
      </c>
      <c r="G29" s="7">
        <v>169299800</v>
      </c>
      <c r="L29" s="5">
        <v>45139</v>
      </c>
      <c r="M29">
        <f t="shared" si="0"/>
        <v>-6.7270896273917302E-2</v>
      </c>
      <c r="N29">
        <f t="shared" si="1"/>
        <v>-0.10411140583554379</v>
      </c>
      <c r="O29">
        <f t="shared" si="2"/>
        <v>-0.10556710556710558</v>
      </c>
      <c r="P29">
        <f t="shared" si="3"/>
        <v>-8.7495306045812932E-2</v>
      </c>
      <c r="Q29">
        <f t="shared" si="4"/>
        <v>-0.10831076858987702</v>
      </c>
      <c r="R29">
        <f t="shared" si="5"/>
        <v>-8.0272108843537401E-2</v>
      </c>
      <c r="S29">
        <f t="shared" si="6"/>
        <v>-3.7398373983739908E-2</v>
      </c>
      <c r="T29">
        <f t="shared" si="7"/>
        <v>-7.2022955523672827E-2</v>
      </c>
      <c r="U29">
        <f t="shared" si="8"/>
        <v>-7.9010375099760596E-2</v>
      </c>
    </row>
    <row r="30" spans="1:21" ht="18" x14ac:dyDescent="0.2">
      <c r="A30" s="5">
        <v>45108</v>
      </c>
      <c r="B30" s="6">
        <v>146.19</v>
      </c>
      <c r="C30" s="6">
        <v>159.38</v>
      </c>
      <c r="D30" s="6">
        <v>141.44</v>
      </c>
      <c r="E30" s="6">
        <v>157.96</v>
      </c>
      <c r="F30" s="6">
        <v>148.94999999999999</v>
      </c>
      <c r="G30" s="7">
        <v>231261000</v>
      </c>
      <c r="L30" s="5">
        <v>45108</v>
      </c>
      <c r="M30">
        <f t="shared" si="0"/>
        <v>8.6116377424529697E-2</v>
      </c>
      <c r="N30">
        <f t="shared" si="1"/>
        <v>0.12411479686917637</v>
      </c>
      <c r="O30">
        <f t="shared" si="2"/>
        <v>8.1709145427286245E-2</v>
      </c>
      <c r="P30">
        <f t="shared" si="3"/>
        <v>0.12410299704516664</v>
      </c>
      <c r="Q30">
        <f t="shared" si="4"/>
        <v>0.2947680690399137</v>
      </c>
      <c r="R30">
        <f t="shared" si="5"/>
        <v>9.4564408041697662E-2</v>
      </c>
      <c r="S30">
        <f t="shared" si="6"/>
        <v>0.42443543717429077</v>
      </c>
      <c r="T30">
        <f t="shared" si="7"/>
        <v>0.4241928892521456</v>
      </c>
      <c r="U30">
        <f t="shared" si="8"/>
        <v>0.22482893450635374</v>
      </c>
    </row>
    <row r="31" spans="1:21" ht="18" x14ac:dyDescent="0.2">
      <c r="A31" s="5">
        <v>45078</v>
      </c>
      <c r="B31" s="6">
        <v>136.52000000000001</v>
      </c>
      <c r="C31" s="6">
        <v>146</v>
      </c>
      <c r="D31" s="6">
        <v>135.44999999999999</v>
      </c>
      <c r="E31" s="6">
        <v>145.44</v>
      </c>
      <c r="F31" s="6">
        <v>137.13999999999999</v>
      </c>
      <c r="G31" s="7">
        <v>206562200</v>
      </c>
      <c r="L31" s="5">
        <v>45078</v>
      </c>
      <c r="M31">
        <f t="shared" si="0"/>
        <v>7.1657419707743905E-2</v>
      </c>
      <c r="N31">
        <f t="shared" si="1"/>
        <v>3.2320123124278566E-2</v>
      </c>
      <c r="O31">
        <f t="shared" si="2"/>
        <v>8.045356371490292E-2</v>
      </c>
      <c r="P31">
        <f t="shared" si="3"/>
        <v>7.9762989972652687E-2</v>
      </c>
      <c r="Q31">
        <f t="shared" si="4"/>
        <v>0.17341772151898724</v>
      </c>
      <c r="R31">
        <f t="shared" si="5"/>
        <v>1.5117157974300778E-2</v>
      </c>
      <c r="S31">
        <f t="shared" si="6"/>
        <v>9.0277777777777762E-2</v>
      </c>
      <c r="T31">
        <f t="shared" si="7"/>
        <v>1.6373311502250981E-3</v>
      </c>
      <c r="U31">
        <f t="shared" si="8"/>
        <v>9.2948717948718063E-2</v>
      </c>
    </row>
    <row r="32" spans="1:21" ht="18" x14ac:dyDescent="0.2">
      <c r="A32" s="5">
        <v>45047</v>
      </c>
      <c r="B32" s="6">
        <v>142.26</v>
      </c>
      <c r="C32" s="6">
        <v>143.37</v>
      </c>
      <c r="D32" s="6">
        <v>131.81</v>
      </c>
      <c r="E32" s="6">
        <v>135.71</v>
      </c>
      <c r="F32" s="6">
        <v>127.97</v>
      </c>
      <c r="G32" s="7">
        <v>235306100</v>
      </c>
      <c r="L32" s="5">
        <v>45047</v>
      </c>
      <c r="M32">
        <f t="shared" si="0"/>
        <v>-1.0592237513530266E-2</v>
      </c>
      <c r="N32">
        <f t="shared" si="1"/>
        <v>-5.0766983199415652E-2</v>
      </c>
      <c r="O32">
        <f t="shared" si="2"/>
        <v>1.3517166801837565E-3</v>
      </c>
      <c r="P32">
        <f t="shared" si="3"/>
        <v>-7.3479729729729659E-2</v>
      </c>
      <c r="Q32">
        <f t="shared" si="4"/>
        <v>-0.16754478398314013</v>
      </c>
      <c r="R32">
        <f t="shared" si="5"/>
        <v>-6.4687168610816484E-2</v>
      </c>
      <c r="S32">
        <f t="shared" si="6"/>
        <v>-8.6768521187662095E-2</v>
      </c>
      <c r="T32">
        <f t="shared" si="7"/>
        <v>-2.0449077786688113E-2</v>
      </c>
      <c r="U32">
        <f t="shared" si="8"/>
        <v>-0.41242937853107348</v>
      </c>
    </row>
    <row r="33" spans="1:21" ht="18" x14ac:dyDescent="0.2">
      <c r="A33" s="5">
        <v>45017</v>
      </c>
      <c r="B33" s="6">
        <v>129.91</v>
      </c>
      <c r="C33" s="6">
        <v>141.78</v>
      </c>
      <c r="D33" s="6">
        <v>126.22</v>
      </c>
      <c r="E33" s="6">
        <v>138.24</v>
      </c>
      <c r="F33" s="6">
        <v>129.34</v>
      </c>
      <c r="G33" s="7">
        <v>242865000</v>
      </c>
      <c r="L33" s="5">
        <v>45017</v>
      </c>
      <c r="M33">
        <f t="shared" si="0"/>
        <v>6.085958005249345E-2</v>
      </c>
      <c r="N33">
        <f t="shared" si="1"/>
        <v>3.048550997365445E-2</v>
      </c>
      <c r="O33">
        <f t="shared" si="2"/>
        <v>6.3542265669925269E-2</v>
      </c>
      <c r="P33">
        <f t="shared" si="3"/>
        <v>-4.2052144659378227E-3</v>
      </c>
      <c r="Q33">
        <f t="shared" si="4"/>
        <v>1.5788065293015879E-2</v>
      </c>
      <c r="R33">
        <f t="shared" si="5"/>
        <v>-4.457953394123608E-2</v>
      </c>
      <c r="S33">
        <f t="shared" si="6"/>
        <v>4.4250451535219712E-2</v>
      </c>
      <c r="T33">
        <f t="shared" si="7"/>
        <v>-6.9402985074626847E-2</v>
      </c>
      <c r="U33">
        <f t="shared" si="8"/>
        <v>-3.1289111389236988E-3</v>
      </c>
    </row>
    <row r="34" spans="1:21" ht="18" x14ac:dyDescent="0.2">
      <c r="A34" s="5">
        <v>44986</v>
      </c>
      <c r="B34" s="6">
        <v>142.1</v>
      </c>
      <c r="C34" s="6">
        <v>144.04</v>
      </c>
      <c r="D34" s="6">
        <v>123.11</v>
      </c>
      <c r="E34" s="6">
        <v>130.31</v>
      </c>
      <c r="F34" s="6">
        <v>121.92</v>
      </c>
      <c r="G34" s="7">
        <v>458474400</v>
      </c>
      <c r="L34" s="5">
        <v>44986</v>
      </c>
      <c r="M34">
        <f t="shared" ref="M34:M60" si="9">(F34-F35)/F35</f>
        <v>-9.0963316433045047E-2</v>
      </c>
      <c r="N34">
        <f t="shared" ref="N34:N60" si="10">(F100-F101)/F101</f>
        <v>-0.16630059617194856</v>
      </c>
      <c r="O34">
        <f t="shared" ref="O34:O60" si="11">(F168-F169)/F169</f>
        <v>-0.19565217391304349</v>
      </c>
      <c r="P34">
        <f t="shared" ref="P34:P60" si="12">(F233-F234)/F234</f>
        <v>-0.26627584078987954</v>
      </c>
      <c r="Q34">
        <f t="shared" ref="Q34:Q60" si="13">(F298-F299)/F299</f>
        <v>-0.38067616837918472</v>
      </c>
      <c r="R34">
        <f t="shared" ref="R34:R60" si="14">(F362-F363)/F363</f>
        <v>-0.26598909271194854</v>
      </c>
      <c r="S34">
        <f t="shared" ref="S34:S60" si="15">(F426-F427)/F427</f>
        <v>-0.51896901245293947</v>
      </c>
      <c r="T34">
        <f t="shared" ref="T34:T60" si="16">(F490-F491)/F491</f>
        <v>-0.40404714253947072</v>
      </c>
      <c r="U34">
        <f t="shared" ref="U34:U60" si="17">(F555-F556)/F556</f>
        <v>-0.28212039532794253</v>
      </c>
    </row>
    <row r="35" spans="1:21" ht="18" x14ac:dyDescent="0.2">
      <c r="A35" s="5">
        <v>44958</v>
      </c>
      <c r="B35" s="6">
        <v>138.21</v>
      </c>
      <c r="C35" s="6">
        <v>144.34</v>
      </c>
      <c r="D35" s="6">
        <v>137.44</v>
      </c>
      <c r="E35" s="6">
        <v>143.35</v>
      </c>
      <c r="F35" s="6">
        <v>134.12</v>
      </c>
      <c r="G35" s="7">
        <v>169562800</v>
      </c>
      <c r="L35" s="5">
        <v>44958</v>
      </c>
      <c r="M35">
        <f t="shared" si="9"/>
        <v>3.1771674744211054E-2</v>
      </c>
      <c r="N35">
        <f t="shared" si="10"/>
        <v>-3.3363663936912279E-2</v>
      </c>
      <c r="O35">
        <f t="shared" si="11"/>
        <v>-2.3073373327180762E-3</v>
      </c>
      <c r="P35">
        <f t="shared" si="12"/>
        <v>3.086419753085806E-4</v>
      </c>
      <c r="Q35">
        <f t="shared" si="13"/>
        <v>-4.37400950871632E-2</v>
      </c>
      <c r="R35">
        <f t="shared" si="14"/>
        <v>-4.948162111215821E-2</v>
      </c>
      <c r="S35">
        <f t="shared" si="15"/>
        <v>-1.4976465554129185E-2</v>
      </c>
      <c r="T35">
        <f t="shared" si="16"/>
        <v>-4.7850942197755625E-2</v>
      </c>
      <c r="U35">
        <f t="shared" si="17"/>
        <v>1.3495276653171901E-3</v>
      </c>
    </row>
    <row r="36" spans="1:21" ht="18" x14ac:dyDescent="0.2">
      <c r="A36" s="5">
        <v>44927</v>
      </c>
      <c r="B36" s="6">
        <v>135.24</v>
      </c>
      <c r="C36" s="6">
        <v>143.49</v>
      </c>
      <c r="D36" s="6">
        <v>133.55000000000001</v>
      </c>
      <c r="E36" s="6">
        <v>139.96</v>
      </c>
      <c r="F36" s="6">
        <v>129.99</v>
      </c>
      <c r="G36" s="7">
        <v>209965200</v>
      </c>
      <c r="L36" s="5">
        <v>44927</v>
      </c>
      <c r="M36">
        <f t="shared" si="9"/>
        <v>4.3761040629516641E-2</v>
      </c>
      <c r="N36">
        <f t="shared" si="10"/>
        <v>7.7803203661327203E-2</v>
      </c>
      <c r="O36">
        <f t="shared" si="11"/>
        <v>0.13514929282346788</v>
      </c>
      <c r="P36">
        <f t="shared" si="12"/>
        <v>0.11724137931034478</v>
      </c>
      <c r="Q36">
        <f t="shared" si="13"/>
        <v>0.10798946444249338</v>
      </c>
      <c r="R36">
        <f t="shared" si="14"/>
        <v>0.14764737696051924</v>
      </c>
      <c r="S36">
        <f t="shared" si="15"/>
        <v>0.26552346570397112</v>
      </c>
      <c r="T36">
        <f t="shared" si="16"/>
        <v>8.1520494618731287E-2</v>
      </c>
      <c r="U36">
        <f t="shared" si="17"/>
        <v>1.5996343692870268E-2</v>
      </c>
    </row>
    <row r="37" spans="1:21" ht="18" x14ac:dyDescent="0.2">
      <c r="A37" s="5">
        <v>44896</v>
      </c>
      <c r="B37" s="6">
        <v>138.18</v>
      </c>
      <c r="C37" s="6">
        <v>138.66</v>
      </c>
      <c r="D37" s="6">
        <v>128.41</v>
      </c>
      <c r="E37" s="6">
        <v>134.1</v>
      </c>
      <c r="F37" s="6">
        <v>124.54</v>
      </c>
      <c r="G37" s="7">
        <v>202046000</v>
      </c>
      <c r="L37" s="5">
        <v>44896</v>
      </c>
      <c r="M37">
        <f t="shared" si="9"/>
        <v>-2.9533234629470943E-2</v>
      </c>
      <c r="N37">
        <f t="shared" si="10"/>
        <v>-0.12500000000000003</v>
      </c>
      <c r="O37">
        <f t="shared" si="11"/>
        <v>-0.13325766174801357</v>
      </c>
      <c r="P37">
        <f t="shared" si="12"/>
        <v>-9.7416744475568071E-2</v>
      </c>
      <c r="Q37">
        <f t="shared" si="13"/>
        <v>-6.8073964981181415E-2</v>
      </c>
      <c r="R37">
        <f t="shared" si="14"/>
        <v>-6.9685534591195045E-2</v>
      </c>
      <c r="S37">
        <f t="shared" si="15"/>
        <v>-0.12673392181588902</v>
      </c>
      <c r="T37">
        <f t="shared" si="16"/>
        <v>-4.3583004818221527E-2</v>
      </c>
      <c r="U37">
        <f t="shared" si="17"/>
        <v>-1.4414414414414429E-2</v>
      </c>
    </row>
    <row r="38" spans="1:21" ht="18" x14ac:dyDescent="0.2">
      <c r="A38" s="5">
        <v>44866</v>
      </c>
      <c r="B38" s="6">
        <v>126.87</v>
      </c>
      <c r="C38" s="6">
        <v>138.18</v>
      </c>
      <c r="D38" s="6">
        <v>125.91</v>
      </c>
      <c r="E38" s="6">
        <v>138.18</v>
      </c>
      <c r="F38" s="6">
        <v>128.33000000000001</v>
      </c>
      <c r="G38" s="7">
        <v>227228500</v>
      </c>
      <c r="L38" s="5">
        <v>44866</v>
      </c>
      <c r="M38">
        <f t="shared" si="9"/>
        <v>0.10753430568740836</v>
      </c>
      <c r="N38">
        <f t="shared" si="10"/>
        <v>5.0165214779213027E-2</v>
      </c>
      <c r="O38">
        <f t="shared" si="11"/>
        <v>4.2603550295857918E-2</v>
      </c>
      <c r="P38">
        <f t="shared" si="12"/>
        <v>1.8706404565631052E-2</v>
      </c>
      <c r="Q38">
        <f t="shared" si="13"/>
        <v>1.7482517482517435E-2</v>
      </c>
      <c r="R38">
        <f t="shared" si="14"/>
        <v>4.4952681388012644E-2</v>
      </c>
      <c r="S38">
        <f t="shared" si="15"/>
        <v>2.0427859096026957E-2</v>
      </c>
      <c r="T38">
        <f t="shared" si="16"/>
        <v>-2.4033209525891747E-3</v>
      </c>
      <c r="U38">
        <f t="shared" si="17"/>
        <v>1.416171767930556E-2</v>
      </c>
    </row>
    <row r="39" spans="1:21" ht="18" x14ac:dyDescent="0.2">
      <c r="A39" s="5">
        <v>44835</v>
      </c>
      <c r="B39" s="6">
        <v>105.62</v>
      </c>
      <c r="C39" s="6">
        <v>127.43</v>
      </c>
      <c r="D39" s="6">
        <v>101.28</v>
      </c>
      <c r="E39" s="6">
        <v>125.88</v>
      </c>
      <c r="F39" s="6">
        <v>115.87</v>
      </c>
      <c r="G39" s="7">
        <v>318197200</v>
      </c>
      <c r="L39" s="5">
        <v>44835</v>
      </c>
      <c r="M39">
        <f t="shared" si="9"/>
        <v>0.20459507225283302</v>
      </c>
      <c r="N39">
        <f t="shared" si="10"/>
        <v>0.20137134608444598</v>
      </c>
      <c r="O39">
        <f t="shared" si="11"/>
        <v>0.14343707713125836</v>
      </c>
      <c r="P39">
        <f t="shared" si="12"/>
        <v>0.12804005722460651</v>
      </c>
      <c r="Q39">
        <f t="shared" si="13"/>
        <v>-1.6647244880968888E-4</v>
      </c>
      <c r="R39">
        <f t="shared" si="14"/>
        <v>2.866414277988108E-2</v>
      </c>
      <c r="S39">
        <f t="shared" si="15"/>
        <v>2.1692686935086282E-2</v>
      </c>
      <c r="T39">
        <f t="shared" si="16"/>
        <v>2.1195894689870657E-2</v>
      </c>
      <c r="U39">
        <f t="shared" si="17"/>
        <v>7.7263779527559071E-2</v>
      </c>
    </row>
    <row r="40" spans="1:21" ht="18" x14ac:dyDescent="0.2">
      <c r="A40" s="5">
        <v>44805</v>
      </c>
      <c r="B40" s="6">
        <v>113.29</v>
      </c>
      <c r="C40" s="6">
        <v>121.55</v>
      </c>
      <c r="D40" s="6">
        <v>104.4</v>
      </c>
      <c r="E40" s="6">
        <v>104.5</v>
      </c>
      <c r="F40" s="6">
        <v>96.19</v>
      </c>
      <c r="G40" s="7">
        <v>248558100</v>
      </c>
      <c r="L40" s="5">
        <v>44805</v>
      </c>
      <c r="M40">
        <f t="shared" si="9"/>
        <v>-8.1192090935141847E-2</v>
      </c>
      <c r="N40">
        <f t="shared" si="10"/>
        <v>-0.10149156939040205</v>
      </c>
      <c r="O40">
        <f t="shared" si="11"/>
        <v>-7.3470411233701086E-2</v>
      </c>
      <c r="P40">
        <f t="shared" si="12"/>
        <v>-6.3943756277201211E-2</v>
      </c>
      <c r="Q40">
        <f t="shared" si="13"/>
        <v>-0.11453419811320759</v>
      </c>
      <c r="R40">
        <f t="shared" si="14"/>
        <v>-6.0706121412242846E-2</v>
      </c>
      <c r="S40">
        <f t="shared" si="15"/>
        <v>-0.13932107496463933</v>
      </c>
      <c r="T40">
        <f t="shared" si="16"/>
        <v>-6.9352159468438465E-2</v>
      </c>
      <c r="U40">
        <f t="shared" si="17"/>
        <v>1.2456402590931739E-2</v>
      </c>
    </row>
    <row r="41" spans="1:21" ht="18" x14ac:dyDescent="0.2">
      <c r="A41" s="5">
        <v>44774</v>
      </c>
      <c r="B41" s="6">
        <v>114.5</v>
      </c>
      <c r="C41" s="6">
        <v>124.24</v>
      </c>
      <c r="D41" s="6">
        <v>111.02</v>
      </c>
      <c r="E41" s="6">
        <v>113.73</v>
      </c>
      <c r="F41" s="6">
        <v>104.69</v>
      </c>
      <c r="G41" s="7">
        <v>258430300</v>
      </c>
      <c r="L41" s="5">
        <v>44774</v>
      </c>
      <c r="M41">
        <f t="shared" si="9"/>
        <v>-5.4151624548737162E-3</v>
      </c>
      <c r="N41">
        <f t="shared" si="10"/>
        <v>-6.1231066709636246E-3</v>
      </c>
      <c r="O41">
        <f t="shared" si="11"/>
        <v>-3.7471896077941186E-3</v>
      </c>
      <c r="P41">
        <f t="shared" si="12"/>
        <v>6.7001675041874619E-4</v>
      </c>
      <c r="Q41">
        <f t="shared" si="13"/>
        <v>3.257229832572299E-2</v>
      </c>
      <c r="R41">
        <f t="shared" si="14"/>
        <v>-7.1900047147571991E-2</v>
      </c>
      <c r="S41">
        <f t="shared" si="15"/>
        <v>4.4040346640148069E-3</v>
      </c>
      <c r="T41">
        <f t="shared" si="16"/>
        <v>8.7976539589441679E-3</v>
      </c>
      <c r="U41">
        <f t="shared" si="17"/>
        <v>1.1592741935483892E-2</v>
      </c>
    </row>
    <row r="42" spans="1:21" ht="18" x14ac:dyDescent="0.2">
      <c r="A42" s="5">
        <v>44743</v>
      </c>
      <c r="B42" s="6">
        <v>112.65</v>
      </c>
      <c r="C42" s="6">
        <v>116.5</v>
      </c>
      <c r="D42" s="6">
        <v>106.06</v>
      </c>
      <c r="E42" s="6">
        <v>115.36</v>
      </c>
      <c r="F42" s="6">
        <v>105.26</v>
      </c>
      <c r="G42" s="7">
        <v>239623100</v>
      </c>
      <c r="L42" s="5">
        <v>44743</v>
      </c>
      <c r="M42">
        <f t="shared" si="9"/>
        <v>2.4428223844282289E-2</v>
      </c>
      <c r="N42">
        <f t="shared" si="10"/>
        <v>9.2605633802817E-2</v>
      </c>
      <c r="O42">
        <f t="shared" si="11"/>
        <v>0.12003357582540568</v>
      </c>
      <c r="P42">
        <f t="shared" si="12"/>
        <v>2.436513383665068E-2</v>
      </c>
      <c r="Q42">
        <f t="shared" si="13"/>
        <v>6.9510011395083893E-2</v>
      </c>
      <c r="R42">
        <f t="shared" si="14"/>
        <v>6.3957863054928635E-2</v>
      </c>
      <c r="S42">
        <f t="shared" si="15"/>
        <v>8.1924377497694406E-2</v>
      </c>
      <c r="T42">
        <f t="shared" si="16"/>
        <v>7.1845532105972221E-2</v>
      </c>
      <c r="U42">
        <f t="shared" si="17"/>
        <v>2.9579657498702661E-2</v>
      </c>
    </row>
    <row r="43" spans="1:21" ht="18" x14ac:dyDescent="0.2">
      <c r="A43" s="5">
        <v>44713</v>
      </c>
      <c r="B43" s="6">
        <v>132.87</v>
      </c>
      <c r="C43" s="6">
        <v>132.87</v>
      </c>
      <c r="D43" s="6">
        <v>110.93</v>
      </c>
      <c r="E43" s="6">
        <v>112.61</v>
      </c>
      <c r="F43" s="6">
        <v>102.75</v>
      </c>
      <c r="G43" s="7">
        <v>268201900</v>
      </c>
      <c r="L43" s="5">
        <v>44713</v>
      </c>
      <c r="M43">
        <f t="shared" si="9"/>
        <v>-0.14836303356817243</v>
      </c>
      <c r="N43">
        <f t="shared" si="10"/>
        <v>-0.1632292280494991</v>
      </c>
      <c r="O43">
        <f t="shared" si="11"/>
        <v>-0.1394172887069588</v>
      </c>
      <c r="P43">
        <f t="shared" si="12"/>
        <v>-0.14795321637426906</v>
      </c>
      <c r="Q43">
        <f t="shared" si="13"/>
        <v>-0.1181452770600057</v>
      </c>
      <c r="R43">
        <f t="shared" si="14"/>
        <v>-3.649105848235875E-2</v>
      </c>
      <c r="S43">
        <f t="shared" si="15"/>
        <v>-0.12823261423020224</v>
      </c>
      <c r="T43">
        <f t="shared" si="16"/>
        <v>-0.10147266491829737</v>
      </c>
      <c r="U43">
        <f t="shared" si="17"/>
        <v>-4.2722305017386955E-2</v>
      </c>
    </row>
    <row r="44" spans="1:21" ht="18" x14ac:dyDescent="0.2">
      <c r="A44" s="5">
        <v>44682</v>
      </c>
      <c r="B44" s="6">
        <v>119.88</v>
      </c>
      <c r="C44" s="6">
        <v>133.15</v>
      </c>
      <c r="D44" s="6">
        <v>115.02</v>
      </c>
      <c r="E44" s="6">
        <v>132.22999999999999</v>
      </c>
      <c r="F44" s="6">
        <v>120.65</v>
      </c>
      <c r="G44" s="7">
        <v>313630400</v>
      </c>
      <c r="L44" s="5">
        <v>44682</v>
      </c>
      <c r="M44">
        <f t="shared" si="9"/>
        <v>0.11599297012302291</v>
      </c>
      <c r="N44">
        <f t="shared" si="10"/>
        <v>4.2383292383292241E-2</v>
      </c>
      <c r="O44">
        <f t="shared" si="11"/>
        <v>4.9002273301338661E-2</v>
      </c>
      <c r="P44">
        <f t="shared" si="12"/>
        <v>5.0691244239631512E-2</v>
      </c>
      <c r="Q44">
        <f t="shared" si="13"/>
        <v>1.6044340723453825E-2</v>
      </c>
      <c r="R44">
        <f t="shared" si="14"/>
        <v>2.8585632612478394E-2</v>
      </c>
      <c r="S44">
        <f t="shared" si="15"/>
        <v>6.9197707736389669E-2</v>
      </c>
      <c r="T44">
        <f t="shared" si="16"/>
        <v>9.3667277540216021E-3</v>
      </c>
      <c r="U44">
        <f t="shared" si="17"/>
        <v>2.0273694880891969E-2</v>
      </c>
    </row>
    <row r="45" spans="1:21" ht="18" x14ac:dyDescent="0.2">
      <c r="A45" s="5">
        <v>44652</v>
      </c>
      <c r="B45" s="6">
        <v>137.4</v>
      </c>
      <c r="C45" s="6">
        <v>137.41</v>
      </c>
      <c r="D45" s="6">
        <v>118.9</v>
      </c>
      <c r="E45" s="6">
        <v>119.36</v>
      </c>
      <c r="F45" s="6">
        <v>108.11</v>
      </c>
      <c r="G45" s="7">
        <v>303650400</v>
      </c>
      <c r="L45" s="5">
        <v>44652</v>
      </c>
      <c r="M45">
        <f t="shared" si="9"/>
        <v>-0.12440268891228638</v>
      </c>
      <c r="N45">
        <f t="shared" si="10"/>
        <v>-0.13010953780390055</v>
      </c>
      <c r="O45">
        <f t="shared" si="11"/>
        <v>-9.9613372754150456E-2</v>
      </c>
      <c r="P45">
        <f t="shared" si="12"/>
        <v>-0.12240496090590472</v>
      </c>
      <c r="Q45">
        <f t="shared" si="13"/>
        <v>-8.7326943556975525E-2</v>
      </c>
      <c r="R45">
        <f t="shared" si="14"/>
        <v>-0.14712741149035413</v>
      </c>
      <c r="S45">
        <f t="shared" si="15"/>
        <v>-8.1095313322801441E-2</v>
      </c>
      <c r="T45">
        <f t="shared" si="16"/>
        <v>-0.1379673512374934</v>
      </c>
      <c r="U45">
        <f t="shared" si="17"/>
        <v>-4.1302235179786102E-2</v>
      </c>
    </row>
    <row r="46" spans="1:21" ht="18" x14ac:dyDescent="0.2">
      <c r="A46" s="5">
        <v>44621</v>
      </c>
      <c r="B46" s="6">
        <v>140.04</v>
      </c>
      <c r="C46" s="6">
        <v>143.93</v>
      </c>
      <c r="D46" s="6">
        <v>127.27</v>
      </c>
      <c r="E46" s="6">
        <v>136.32</v>
      </c>
      <c r="F46" s="6">
        <v>123.47</v>
      </c>
      <c r="G46" s="7">
        <v>390796800</v>
      </c>
      <c r="L46" s="5">
        <v>44621</v>
      </c>
      <c r="M46">
        <f t="shared" si="9"/>
        <v>-3.8620260063848069E-2</v>
      </c>
      <c r="N46">
        <f t="shared" si="10"/>
        <v>-6.728133565910796E-2</v>
      </c>
      <c r="O46">
        <f t="shared" si="11"/>
        <v>-8.7948558390375478E-2</v>
      </c>
      <c r="P46">
        <f t="shared" si="12"/>
        <v>-0.10019408054342542</v>
      </c>
      <c r="Q46">
        <f t="shared" si="13"/>
        <v>-5.2950075642965062E-2</v>
      </c>
      <c r="R46">
        <f t="shared" si="14"/>
        <v>-8.2117143413115365E-2</v>
      </c>
      <c r="S46">
        <f t="shared" si="15"/>
        <v>-0.11323838431006308</v>
      </c>
      <c r="T46">
        <f t="shared" si="16"/>
        <v>-7.0484581497797363E-2</v>
      </c>
      <c r="U46">
        <f t="shared" si="17"/>
        <v>4.8614487117151241E-4</v>
      </c>
    </row>
    <row r="47" spans="1:21" ht="18" x14ac:dyDescent="0.2">
      <c r="A47" s="5">
        <v>44593</v>
      </c>
      <c r="B47" s="6">
        <v>148.69</v>
      </c>
      <c r="C47" s="6">
        <v>159.03</v>
      </c>
      <c r="D47" s="6">
        <v>139.78</v>
      </c>
      <c r="E47" s="6">
        <v>141.80000000000001</v>
      </c>
      <c r="F47" s="6">
        <v>128.43</v>
      </c>
      <c r="G47" s="7">
        <v>288730100</v>
      </c>
      <c r="L47" s="5">
        <v>44593</v>
      </c>
      <c r="M47">
        <f t="shared" si="9"/>
        <v>-4.0062784961506732E-2</v>
      </c>
      <c r="N47">
        <f t="shared" si="10"/>
        <v>-4.2014800668417236E-2</v>
      </c>
      <c r="O47">
        <f t="shared" si="11"/>
        <v>-8.0246913580247024E-3</v>
      </c>
      <c r="P47">
        <f t="shared" si="12"/>
        <v>7.176287051482054E-2</v>
      </c>
      <c r="Q47">
        <f t="shared" si="13"/>
        <v>2.9194239003503313E-2</v>
      </c>
      <c r="R47">
        <f t="shared" si="14"/>
        <v>-9.4448727833462212E-3</v>
      </c>
      <c r="S47">
        <f t="shared" si="15"/>
        <v>-5.4942630185348673E-2</v>
      </c>
      <c r="T47">
        <f t="shared" si="16"/>
        <v>4.5190995907230531E-2</v>
      </c>
      <c r="U47">
        <f t="shared" si="17"/>
        <v>0.3722481654436291</v>
      </c>
    </row>
    <row r="48" spans="1:21" ht="18" x14ac:dyDescent="0.2">
      <c r="A48" s="5">
        <v>44562</v>
      </c>
      <c r="B48" s="6">
        <v>159.86000000000001</v>
      </c>
      <c r="C48" s="6">
        <v>169.81</v>
      </c>
      <c r="D48" s="6">
        <v>139.57</v>
      </c>
      <c r="E48" s="6">
        <v>148.6</v>
      </c>
      <c r="F48" s="6">
        <v>133.79</v>
      </c>
      <c r="G48" s="7">
        <v>373950200</v>
      </c>
      <c r="L48" s="5">
        <v>44562</v>
      </c>
      <c r="M48">
        <f t="shared" si="9"/>
        <v>-6.1583783404643343E-2</v>
      </c>
      <c r="N48">
        <f t="shared" si="10"/>
        <v>4.2039800995024815E-2</v>
      </c>
      <c r="O48">
        <f t="shared" si="11"/>
        <v>0.12136594370096902</v>
      </c>
      <c r="P48">
        <f t="shared" si="12"/>
        <v>3.1929165548698624E-2</v>
      </c>
      <c r="Q48">
        <f t="shared" si="13"/>
        <v>7.5345332775219639E-2</v>
      </c>
      <c r="R48">
        <f t="shared" si="14"/>
        <v>7.2787427626137366E-2</v>
      </c>
      <c r="S48">
        <f t="shared" si="15"/>
        <v>-7.8674527342955838E-2</v>
      </c>
      <c r="T48">
        <f t="shared" si="16"/>
        <v>7.379600805713242E-2</v>
      </c>
      <c r="U48">
        <f t="shared" si="17"/>
        <v>5.7122708039492279E-2</v>
      </c>
    </row>
    <row r="49" spans="1:21" ht="18" x14ac:dyDescent="0.2">
      <c r="A49" s="5">
        <v>44531</v>
      </c>
      <c r="B49" s="6">
        <v>161</v>
      </c>
      <c r="C49" s="6">
        <v>163.38999999999999</v>
      </c>
      <c r="D49" s="6">
        <v>151.84</v>
      </c>
      <c r="E49" s="6">
        <v>158.35</v>
      </c>
      <c r="F49" s="6">
        <v>142.57</v>
      </c>
      <c r="G49" s="7">
        <v>251966400</v>
      </c>
      <c r="L49" s="5">
        <v>44531</v>
      </c>
      <c r="M49">
        <f t="shared" si="9"/>
        <v>-3.0069930069930545E-3</v>
      </c>
      <c r="N49">
        <f t="shared" si="10"/>
        <v>4.9776007964169057E-4</v>
      </c>
      <c r="O49">
        <f t="shared" si="11"/>
        <v>7.9069767441861255E-3</v>
      </c>
      <c r="P49">
        <f t="shared" si="12"/>
        <v>3.3268644302744739E-2</v>
      </c>
      <c r="Q49">
        <f t="shared" si="13"/>
        <v>5.4125606706868765E-2</v>
      </c>
      <c r="R49">
        <f t="shared" si="14"/>
        <v>-5.3475935828876603E-3</v>
      </c>
      <c r="S49">
        <f t="shared" si="15"/>
        <v>-1.6396720655868832E-2</v>
      </c>
      <c r="T49">
        <f t="shared" si="16"/>
        <v>7.1929177425304426E-3</v>
      </c>
      <c r="U49">
        <f t="shared" si="17"/>
        <v>1.2857142857142836E-2</v>
      </c>
    </row>
    <row r="50" spans="1:21" ht="18" x14ac:dyDescent="0.2">
      <c r="A50" s="5">
        <v>44501</v>
      </c>
      <c r="B50" s="6">
        <v>172.04</v>
      </c>
      <c r="C50" s="6">
        <v>172.33</v>
      </c>
      <c r="D50" s="6">
        <v>158.29</v>
      </c>
      <c r="E50" s="6">
        <v>158.83000000000001</v>
      </c>
      <c r="F50" s="6">
        <v>143</v>
      </c>
      <c r="G50" s="7">
        <v>203498400</v>
      </c>
      <c r="L50" s="5">
        <v>44501</v>
      </c>
      <c r="M50">
        <f t="shared" si="9"/>
        <v>-5.9458037358589795E-2</v>
      </c>
      <c r="N50">
        <f t="shared" si="10"/>
        <v>-6.9476609541454376E-2</v>
      </c>
      <c r="O50">
        <f t="shared" si="11"/>
        <v>-6.6029539530842729E-2</v>
      </c>
      <c r="P50">
        <f t="shared" si="12"/>
        <v>-3.1677852348993278E-2</v>
      </c>
      <c r="Q50">
        <f t="shared" si="13"/>
        <v>-3.0099857346647642E-2</v>
      </c>
      <c r="R50">
        <f t="shared" si="14"/>
        <v>-6.5539112050740034E-2</v>
      </c>
      <c r="S50">
        <f t="shared" si="15"/>
        <v>-5.4363240994610949E-2</v>
      </c>
      <c r="T50">
        <f t="shared" si="16"/>
        <v>1.4776505356482877E-3</v>
      </c>
      <c r="U50">
        <f t="shared" si="17"/>
        <v>-4.9558723693143271E-2</v>
      </c>
    </row>
    <row r="51" spans="1:21" ht="18" x14ac:dyDescent="0.2">
      <c r="A51" s="5">
        <v>44470</v>
      </c>
      <c r="B51" s="6">
        <v>164</v>
      </c>
      <c r="C51" s="6">
        <v>172.96</v>
      </c>
      <c r="D51" s="6">
        <v>160.06</v>
      </c>
      <c r="E51" s="6">
        <v>169.89</v>
      </c>
      <c r="F51" s="6">
        <v>152.04</v>
      </c>
      <c r="G51" s="7">
        <v>231680800</v>
      </c>
      <c r="L51" s="5">
        <v>44470</v>
      </c>
      <c r="M51">
        <f t="shared" si="9"/>
        <v>3.7886545156665868E-2</v>
      </c>
      <c r="N51">
        <f t="shared" si="10"/>
        <v>0.13155136268343826</v>
      </c>
      <c r="O51">
        <f t="shared" si="11"/>
        <v>0.10249042145593873</v>
      </c>
      <c r="P51">
        <f t="shared" si="12"/>
        <v>3.2714166897698911E-2</v>
      </c>
      <c r="Q51">
        <f t="shared" si="13"/>
        <v>6.6808704915537989E-2</v>
      </c>
      <c r="R51">
        <f t="shared" si="14"/>
        <v>8.2154742096505889E-2</v>
      </c>
      <c r="S51">
        <f t="shared" si="15"/>
        <v>6.6767523953605551E-2</v>
      </c>
      <c r="T51">
        <f t="shared" si="16"/>
        <v>1.7669172932330782E-2</v>
      </c>
      <c r="U51">
        <f t="shared" si="17"/>
        <v>5.2142857142857171E-2</v>
      </c>
    </row>
    <row r="52" spans="1:21" ht="18" x14ac:dyDescent="0.2">
      <c r="A52" s="5">
        <v>44440</v>
      </c>
      <c r="B52" s="6">
        <v>160.22</v>
      </c>
      <c r="C52" s="6">
        <v>169.3</v>
      </c>
      <c r="D52" s="6">
        <v>150.49</v>
      </c>
      <c r="E52" s="6">
        <v>163.69</v>
      </c>
      <c r="F52" s="6">
        <v>146.49</v>
      </c>
      <c r="G52" s="7">
        <v>234791100</v>
      </c>
      <c r="L52" s="5">
        <v>44440</v>
      </c>
      <c r="M52">
        <f t="shared" si="9"/>
        <v>2.3332169053440471E-2</v>
      </c>
      <c r="N52">
        <f t="shared" si="10"/>
        <v>1.6786570743405154E-2</v>
      </c>
      <c r="O52">
        <f t="shared" si="11"/>
        <v>1.9780219780219661E-2</v>
      </c>
      <c r="P52">
        <f t="shared" si="12"/>
        <v>9.2037541628822259E-2</v>
      </c>
      <c r="Q52">
        <f t="shared" si="13"/>
        <v>8.9176197579976718E-2</v>
      </c>
      <c r="R52">
        <f t="shared" si="14"/>
        <v>3.6430265143349808E-2</v>
      </c>
      <c r="S52">
        <f t="shared" si="15"/>
        <v>0.11932716188755936</v>
      </c>
      <c r="T52">
        <f t="shared" si="16"/>
        <v>7.6269471980578665E-2</v>
      </c>
      <c r="U52">
        <f t="shared" si="17"/>
        <v>-6.3875088715400893E-3</v>
      </c>
    </row>
    <row r="53" spans="1:21" ht="18" x14ac:dyDescent="0.2">
      <c r="A53" s="5">
        <v>44409</v>
      </c>
      <c r="B53" s="6">
        <v>152.03</v>
      </c>
      <c r="C53" s="6">
        <v>163.83000000000001</v>
      </c>
      <c r="D53" s="6">
        <v>149.52000000000001</v>
      </c>
      <c r="E53" s="6">
        <v>159.94999999999999</v>
      </c>
      <c r="F53" s="6">
        <v>143.15</v>
      </c>
      <c r="G53" s="7">
        <v>208085700</v>
      </c>
      <c r="L53" s="5">
        <v>44409</v>
      </c>
      <c r="M53">
        <f t="shared" si="9"/>
        <v>5.9899304013031271E-2</v>
      </c>
      <c r="N53">
        <f t="shared" si="10"/>
        <v>8.8141490287039687E-2</v>
      </c>
      <c r="O53">
        <f t="shared" si="11"/>
        <v>-5.1020408163263793E-3</v>
      </c>
      <c r="P53">
        <f t="shared" si="12"/>
        <v>7.1011673151751012E-2</v>
      </c>
      <c r="Q53">
        <f t="shared" si="13"/>
        <v>7.6552462526766576E-2</v>
      </c>
      <c r="R53">
        <f t="shared" si="14"/>
        <v>4.8124717577948548E-2</v>
      </c>
      <c r="S53">
        <f t="shared" si="15"/>
        <v>5.1020408163265273E-2</v>
      </c>
      <c r="T53">
        <f t="shared" si="16"/>
        <v>0.11028751123090737</v>
      </c>
      <c r="U53">
        <f t="shared" si="17"/>
        <v>6.0993975903614502E-2</v>
      </c>
    </row>
    <row r="54" spans="1:21" ht="18" x14ac:dyDescent="0.2">
      <c r="A54" s="5">
        <v>44378</v>
      </c>
      <c r="B54" s="6">
        <v>156.26</v>
      </c>
      <c r="C54" s="6">
        <v>159.16</v>
      </c>
      <c r="D54" s="6">
        <v>145.71</v>
      </c>
      <c r="E54" s="6">
        <v>151.78</v>
      </c>
      <c r="F54" s="6">
        <v>135.06</v>
      </c>
      <c r="G54" s="7">
        <v>280571500</v>
      </c>
      <c r="L54" s="5">
        <v>44378</v>
      </c>
      <c r="M54">
        <f t="shared" si="9"/>
        <v>-2.4132947976878635E-2</v>
      </c>
      <c r="N54">
        <f t="shared" si="10"/>
        <v>-6.5564887564345559E-2</v>
      </c>
      <c r="O54">
        <f t="shared" si="11"/>
        <v>1.429275505174959E-2</v>
      </c>
      <c r="P54">
        <f t="shared" si="12"/>
        <v>-4.4017358958462441E-2</v>
      </c>
      <c r="Q54">
        <f t="shared" si="13"/>
        <v>-2.8601144045761806E-2</v>
      </c>
      <c r="R54">
        <f t="shared" si="14"/>
        <v>-1.9277642366496886E-2</v>
      </c>
      <c r="S54">
        <f t="shared" si="15"/>
        <v>-3.5582967619500813E-4</v>
      </c>
      <c r="T54">
        <f t="shared" si="16"/>
        <v>-1.3297872340425407E-2</v>
      </c>
      <c r="U54">
        <f t="shared" si="17"/>
        <v>-9.9050203527815531E-2</v>
      </c>
    </row>
    <row r="55" spans="1:21" ht="18" x14ac:dyDescent="0.2">
      <c r="A55" s="5">
        <v>44348</v>
      </c>
      <c r="B55" s="6">
        <v>165.87</v>
      </c>
      <c r="C55" s="6">
        <v>167.44</v>
      </c>
      <c r="D55" s="6">
        <v>147.56</v>
      </c>
      <c r="E55" s="6">
        <v>155.54</v>
      </c>
      <c r="F55" s="6">
        <v>138.4</v>
      </c>
      <c r="G55" s="7">
        <v>356723300</v>
      </c>
      <c r="L55" s="5">
        <v>44348</v>
      </c>
      <c r="M55">
        <f t="shared" si="9"/>
        <v>-5.2962912275899693E-2</v>
      </c>
      <c r="N55">
        <f t="shared" si="10"/>
        <v>-2.7404479578392784E-2</v>
      </c>
      <c r="O55">
        <f t="shared" si="11"/>
        <v>-2.8489346420876339E-2</v>
      </c>
      <c r="P55">
        <f t="shared" si="12"/>
        <v>-9.2800899887514179E-2</v>
      </c>
      <c r="Q55">
        <f t="shared" si="13"/>
        <v>-9.1209829867674855E-2</v>
      </c>
      <c r="R55">
        <f t="shared" si="14"/>
        <v>-9.4684052156469384E-2</v>
      </c>
      <c r="S55">
        <f t="shared" si="15"/>
        <v>-6.9220578494148782E-2</v>
      </c>
      <c r="T55">
        <f t="shared" si="16"/>
        <v>-8.1433224755700334E-2</v>
      </c>
      <c r="U55">
        <f t="shared" si="17"/>
        <v>-9.3480934809348173E-2</v>
      </c>
    </row>
    <row r="56" spans="1:21" ht="18" x14ac:dyDescent="0.2">
      <c r="A56" s="5">
        <v>44317</v>
      </c>
      <c r="B56" s="6">
        <v>154.85</v>
      </c>
      <c r="C56" s="6">
        <v>165.7</v>
      </c>
      <c r="D56" s="6">
        <v>152.13999999999999</v>
      </c>
      <c r="E56" s="6">
        <v>164.24</v>
      </c>
      <c r="F56" s="6">
        <v>146.13999999999999</v>
      </c>
      <c r="G56" s="7">
        <v>248957700</v>
      </c>
      <c r="L56" s="5">
        <v>44317</v>
      </c>
      <c r="M56">
        <f t="shared" si="9"/>
        <v>7.4084962516536707E-2</v>
      </c>
      <c r="N56">
        <f t="shared" si="10"/>
        <v>4.5742628823367423E-2</v>
      </c>
      <c r="O56">
        <f t="shared" si="11"/>
        <v>3.6991062562065587E-2</v>
      </c>
      <c r="P56">
        <f t="shared" si="12"/>
        <v>3.9462145571470368E-2</v>
      </c>
      <c r="Q56">
        <f t="shared" si="13"/>
        <v>4.4422507403751164E-2</v>
      </c>
      <c r="R56">
        <f t="shared" si="14"/>
        <v>4.1579607187630631E-2</v>
      </c>
      <c r="S56">
        <f t="shared" si="15"/>
        <v>-4.8229484081118032E-2</v>
      </c>
      <c r="T56">
        <f t="shared" si="16"/>
        <v>3.7162162162162123E-2</v>
      </c>
      <c r="U56">
        <f t="shared" si="17"/>
        <v>4.2307692307692435E-2</v>
      </c>
    </row>
    <row r="57" spans="1:21" ht="18" x14ac:dyDescent="0.2">
      <c r="A57" s="5">
        <v>44287</v>
      </c>
      <c r="B57" s="6">
        <v>151.9</v>
      </c>
      <c r="C57" s="6">
        <v>157.25</v>
      </c>
      <c r="D57" s="6">
        <v>146.69</v>
      </c>
      <c r="E57" s="6">
        <v>153.81</v>
      </c>
      <c r="F57" s="6">
        <v>136.06</v>
      </c>
      <c r="G57" s="7">
        <v>288694200</v>
      </c>
      <c r="L57" s="5">
        <v>44287</v>
      </c>
      <c r="M57">
        <f t="shared" si="9"/>
        <v>1.039655428486563E-2</v>
      </c>
      <c r="N57">
        <f t="shared" si="10"/>
        <v>5.2799535828256465E-2</v>
      </c>
      <c r="O57">
        <f t="shared" si="11"/>
        <v>0.15316346979673637</v>
      </c>
      <c r="P57">
        <f t="shared" si="12"/>
        <v>9.0184831102613189E-2</v>
      </c>
      <c r="Q57">
        <f t="shared" si="13"/>
        <v>5.7779324747650546E-2</v>
      </c>
      <c r="R57">
        <f t="shared" si="14"/>
        <v>1.6999575010624674E-2</v>
      </c>
      <c r="S57">
        <f t="shared" si="15"/>
        <v>0.11257891045125082</v>
      </c>
      <c r="T57">
        <f t="shared" si="16"/>
        <v>1.5437392795883338E-2</v>
      </c>
      <c r="U57">
        <f t="shared" si="17"/>
        <v>9.1672498250524884E-2</v>
      </c>
    </row>
    <row r="58" spans="1:21" ht="18" x14ac:dyDescent="0.2">
      <c r="A58" s="5">
        <v>44256</v>
      </c>
      <c r="B58" s="6">
        <v>149.52000000000001</v>
      </c>
      <c r="C58" s="6">
        <v>161.69</v>
      </c>
      <c r="D58" s="6">
        <v>147.97</v>
      </c>
      <c r="E58" s="6">
        <v>152.22999999999999</v>
      </c>
      <c r="F58" s="6">
        <v>134.66</v>
      </c>
      <c r="G58" s="7">
        <v>399416900</v>
      </c>
      <c r="L58" s="5">
        <v>44256</v>
      </c>
      <c r="M58">
        <f t="shared" si="9"/>
        <v>3.4334434288347794E-2</v>
      </c>
      <c r="N58">
        <f t="shared" si="10"/>
        <v>0.11481241914618361</v>
      </c>
      <c r="O58">
        <f t="shared" si="11"/>
        <v>8.3436724565756751E-2</v>
      </c>
      <c r="P58">
        <f t="shared" si="12"/>
        <v>7.9834824501032367E-2</v>
      </c>
      <c r="Q58">
        <f t="shared" si="13"/>
        <v>5.353868720205357E-2</v>
      </c>
      <c r="R58">
        <f t="shared" si="14"/>
        <v>3.2470381746380082E-2</v>
      </c>
      <c r="S58">
        <f t="shared" si="15"/>
        <v>3.5217233450320837E-2</v>
      </c>
      <c r="T58">
        <f t="shared" si="16"/>
        <v>4.0374749051974176E-2</v>
      </c>
      <c r="U58">
        <f t="shared" si="17"/>
        <v>4.3827611395178941E-2</v>
      </c>
    </row>
    <row r="59" spans="1:21" ht="18" x14ac:dyDescent="0.2">
      <c r="A59" s="5">
        <v>44228</v>
      </c>
      <c r="B59" s="6">
        <v>129.4</v>
      </c>
      <c r="C59" s="6">
        <v>154.9</v>
      </c>
      <c r="D59" s="6">
        <v>128.47999999999999</v>
      </c>
      <c r="E59" s="6">
        <v>147.16999999999999</v>
      </c>
      <c r="F59" s="6">
        <v>130.19</v>
      </c>
      <c r="G59" s="7">
        <v>229245300</v>
      </c>
      <c r="L59" s="5">
        <v>44228</v>
      </c>
      <c r="M59">
        <f t="shared" si="9"/>
        <v>0.15202194496062288</v>
      </c>
      <c r="N59">
        <f t="shared" si="10"/>
        <v>0.17076864823930335</v>
      </c>
      <c r="O59">
        <f t="shared" si="11"/>
        <v>0.21066466391288033</v>
      </c>
      <c r="P59">
        <f t="shared" si="12"/>
        <v>0.19884488448844886</v>
      </c>
      <c r="Q59">
        <f t="shared" si="13"/>
        <v>0.19056974459724943</v>
      </c>
      <c r="R59">
        <f t="shared" si="14"/>
        <v>0.18728835634279753</v>
      </c>
      <c r="S59">
        <f t="shared" si="15"/>
        <v>0.34204969952899134</v>
      </c>
      <c r="T59">
        <f t="shared" si="16"/>
        <v>0.20478366030636919</v>
      </c>
      <c r="U59">
        <f t="shared" si="17"/>
        <v>0.16609880749574099</v>
      </c>
    </row>
    <row r="60" spans="1:21" ht="18" x14ac:dyDescent="0.2">
      <c r="A60" s="5">
        <v>44197</v>
      </c>
      <c r="B60" s="6">
        <v>127.5</v>
      </c>
      <c r="C60" s="6">
        <v>142.75</v>
      </c>
      <c r="D60" s="6">
        <v>123.77</v>
      </c>
      <c r="E60" s="6">
        <v>128.66999999999999</v>
      </c>
      <c r="F60" s="6">
        <v>113.01</v>
      </c>
      <c r="G60" s="7">
        <v>318582400</v>
      </c>
      <c r="L60" s="5">
        <v>44197</v>
      </c>
      <c r="M60">
        <f t="shared" si="9"/>
        <v>1.2634408602150635E-2</v>
      </c>
      <c r="N60">
        <f t="shared" si="10"/>
        <v>-1.5654118524040184E-2</v>
      </c>
      <c r="O60">
        <f t="shared" si="11"/>
        <v>-1.0037174721189576E-2</v>
      </c>
      <c r="P60">
        <f t="shared" si="12"/>
        <v>5.9903804110187905E-2</v>
      </c>
      <c r="Q60">
        <f t="shared" si="13"/>
        <v>3.736413043478274E-2</v>
      </c>
      <c r="R60">
        <f t="shared" si="14"/>
        <v>1.0430247718383088E-3</v>
      </c>
      <c r="S60">
        <f t="shared" si="15"/>
        <v>0.13723679349833764</v>
      </c>
      <c r="T60">
        <f t="shared" si="16"/>
        <v>1.611141452758065E-2</v>
      </c>
      <c r="U60">
        <f t="shared" si="17"/>
        <v>0.10131332082551596</v>
      </c>
    </row>
    <row r="61" spans="1:21" ht="18" x14ac:dyDescent="0.2">
      <c r="A61" s="5">
        <v>44166</v>
      </c>
      <c r="B61" s="6">
        <v>120.34</v>
      </c>
      <c r="C61" s="6">
        <v>127.33</v>
      </c>
      <c r="D61" s="6">
        <v>118.11</v>
      </c>
      <c r="E61" s="6">
        <v>127.07</v>
      </c>
      <c r="F61" s="6">
        <v>111.6</v>
      </c>
      <c r="G61" s="7">
        <v>274143300</v>
      </c>
      <c r="L61" s="5"/>
    </row>
    <row r="64" spans="1:21" x14ac:dyDescent="0.2">
      <c r="L64" t="s">
        <v>0</v>
      </c>
      <c r="M64">
        <f t="shared" ref="M64:U64" si="18">AVERAGE(M2:M60)</f>
        <v>1.950483555553718E-2</v>
      </c>
      <c r="N64">
        <f t="shared" si="18"/>
        <v>1.4793682057895755E-2</v>
      </c>
      <c r="O64">
        <f t="shared" si="18"/>
        <v>2.2939803471841016E-2</v>
      </c>
      <c r="P64">
        <f t="shared" si="18"/>
        <v>1.4798035899560981E-2</v>
      </c>
      <c r="Q64">
        <f t="shared" si="18"/>
        <v>1.5968330313876296E-2</v>
      </c>
      <c r="R64">
        <f t="shared" si="18"/>
        <v>5.9747800556292432E-3</v>
      </c>
      <c r="S64">
        <f t="shared" si="18"/>
        <v>1.6822444052822287E-2</v>
      </c>
      <c r="T64">
        <f t="shared" si="18"/>
        <v>1.187195009890419E-2</v>
      </c>
      <c r="U64">
        <f t="shared" si="18"/>
        <v>1.8411837196008116E-2</v>
      </c>
    </row>
    <row r="66" spans="1:25" x14ac:dyDescent="0.2">
      <c r="L66" t="s">
        <v>1</v>
      </c>
      <c r="M66">
        <f t="shared" ref="M66:U66" si="19">_xlfn.STDEV.S(M2:M60)</f>
        <v>7.0431812112241157E-2</v>
      </c>
      <c r="N66">
        <f t="shared" si="19"/>
        <v>8.2293044545974303E-2</v>
      </c>
      <c r="O66">
        <f t="shared" si="19"/>
        <v>8.2588993897204255E-2</v>
      </c>
      <c r="P66">
        <f t="shared" si="19"/>
        <v>9.0720456107392849E-2</v>
      </c>
      <c r="Q66">
        <f t="shared" si="19"/>
        <v>0.10854539968338645</v>
      </c>
      <c r="R66">
        <f t="shared" si="19"/>
        <v>8.1966695758453986E-2</v>
      </c>
      <c r="S66">
        <f t="shared" si="19"/>
        <v>0.14322299183752238</v>
      </c>
      <c r="T66">
        <f t="shared" si="19"/>
        <v>0.11303465192834806</v>
      </c>
      <c r="U66">
        <f t="shared" si="19"/>
        <v>0.11139431993138836</v>
      </c>
    </row>
    <row r="67" spans="1:25" x14ac:dyDescent="0.2">
      <c r="A67" s="4" t="s">
        <v>7</v>
      </c>
      <c r="B67" s="4" t="s">
        <v>8</v>
      </c>
      <c r="C67" s="4" t="s">
        <v>9</v>
      </c>
      <c r="D67" s="4" t="s">
        <v>10</v>
      </c>
      <c r="E67" s="4" t="s">
        <v>11</v>
      </c>
      <c r="F67" s="4" t="s">
        <v>12</v>
      </c>
      <c r="G67" s="4" t="s">
        <v>13</v>
      </c>
    </row>
    <row r="68" spans="1:25" ht="18" x14ac:dyDescent="0.2">
      <c r="A68" s="5">
        <v>45962</v>
      </c>
      <c r="B68" s="6">
        <v>53.26</v>
      </c>
      <c r="C68" s="6">
        <v>54.69</v>
      </c>
      <c r="D68" s="6">
        <v>51.74</v>
      </c>
      <c r="E68" s="6">
        <v>52.61</v>
      </c>
      <c r="F68" s="6">
        <v>52.61</v>
      </c>
      <c r="G68" s="7">
        <v>387610300</v>
      </c>
      <c r="L68" t="s">
        <v>2</v>
      </c>
      <c r="M68">
        <f t="shared" ref="M68:U68" si="20">_xlfn.COVARIANCE.P(M2:M60,M2:M60)</f>
        <v>4.8765615106782078E-3</v>
      </c>
      <c r="N68">
        <f t="shared" si="20"/>
        <v>6.6573630589398559E-3</v>
      </c>
      <c r="O68">
        <f t="shared" si="20"/>
        <v>6.7053327279871493E-3</v>
      </c>
      <c r="P68">
        <f t="shared" si="20"/>
        <v>8.0907062214802799E-3</v>
      </c>
      <c r="Q68">
        <f t="shared" si="20"/>
        <v>1.1582407117978217E-2</v>
      </c>
      <c r="R68">
        <f t="shared" si="20"/>
        <v>6.6046656675664327E-3</v>
      </c>
      <c r="S68">
        <f t="shared" si="20"/>
        <v>2.0165150384265727E-2</v>
      </c>
      <c r="T68">
        <f t="shared" si="20"/>
        <v>1.256027605289225E-2</v>
      </c>
      <c r="U68">
        <f t="shared" si="20"/>
        <v>1.2198377656824366E-2</v>
      </c>
      <c r="V68">
        <f>_xlfn.COVARIANCE.P(M2:M60, N2:N60)</f>
        <v>4.9191701348452015E-3</v>
      </c>
      <c r="W68">
        <f>_xlfn.COVARIANCE.P(M2:M60,O2:O60)</f>
        <v>4.3728696830506826E-3</v>
      </c>
      <c r="X68">
        <f>_xlfn.COVARIANCE.P(M2:M60,P2:P60)</f>
        <v>4.7784238789172415E-3</v>
      </c>
      <c r="Y68">
        <f>_xlfn.COVARIANCE.P(M2:M60,Q2:Q60)</f>
        <v>4.588375811343256E-3</v>
      </c>
    </row>
    <row r="69" spans="1:25" ht="18" x14ac:dyDescent="0.2">
      <c r="A69" s="5">
        <v>45931</v>
      </c>
      <c r="B69" s="6">
        <v>51.3</v>
      </c>
      <c r="C69" s="6">
        <v>53.64</v>
      </c>
      <c r="D69" s="6">
        <v>48.53</v>
      </c>
      <c r="E69" s="6">
        <v>53.45</v>
      </c>
      <c r="F69" s="6">
        <v>53.45</v>
      </c>
      <c r="G69" s="7">
        <v>762970500</v>
      </c>
      <c r="M69" t="s">
        <v>25</v>
      </c>
      <c r="N69" t="s">
        <v>26</v>
      </c>
      <c r="O69" t="s">
        <v>27</v>
      </c>
      <c r="P69" t="s">
        <v>28</v>
      </c>
      <c r="Q69" t="s">
        <v>29</v>
      </c>
      <c r="R69" t="s">
        <v>30</v>
      </c>
      <c r="S69" t="s">
        <v>31</v>
      </c>
      <c r="T69" t="s">
        <v>32</v>
      </c>
      <c r="U69" t="s">
        <v>33</v>
      </c>
      <c r="V69" t="s">
        <v>34</v>
      </c>
      <c r="W69" t="s">
        <v>35</v>
      </c>
      <c r="X69" t="s">
        <v>36</v>
      </c>
      <c r="Y69" t="s">
        <v>37</v>
      </c>
    </row>
    <row r="70" spans="1:25" ht="18" x14ac:dyDescent="0.2">
      <c r="A70" s="5">
        <v>45901</v>
      </c>
      <c r="B70" s="6">
        <v>50.22</v>
      </c>
      <c r="C70" s="6">
        <v>52.88</v>
      </c>
      <c r="D70" s="6">
        <v>48.88</v>
      </c>
      <c r="E70" s="6">
        <v>51.59</v>
      </c>
      <c r="F70" s="6">
        <v>51.3</v>
      </c>
      <c r="G70" s="7">
        <v>754239800</v>
      </c>
      <c r="M70">
        <f>_xlfn.COVARIANCE.P(M2:M60, R2:R60)</f>
        <v>3.9159912237887243E-3</v>
      </c>
      <c r="N70">
        <f>_xlfn.COVARIANCE.P(M2:M60, S2:S60)</f>
        <v>6.1747214022010426E-3</v>
      </c>
      <c r="O70">
        <f>_xlfn.COVARIANCE.P(M2:M60, T2:T60)</f>
        <v>4.79656876244178E-3</v>
      </c>
      <c r="P70">
        <f>_xlfn.COVARIANCE.P(M2:M60, U2:U60)</f>
        <v>3.88573819376288E-3</v>
      </c>
      <c r="Q70">
        <f>_xlfn.COVARIANCE.P(N2:N60, O2:O60)</f>
        <v>5.8743418834362703E-3</v>
      </c>
      <c r="R70">
        <f>_xlfn.COVARIANCE.P(N2:N60,P2:P60)</f>
        <v>6.2032078079648067E-3</v>
      </c>
      <c r="S70">
        <f>_xlfn.COVARIANCE.P(N2:N60, Q2:Q60)</f>
        <v>6.6549391525485002E-3</v>
      </c>
      <c r="T70">
        <f>_xlfn.COVARIANCE.P(N2:N60, R2:R60)</f>
        <v>5.3503475090066217E-3</v>
      </c>
      <c r="U70">
        <f>_xlfn.COVARIANCE.P(N2:N60, S2:S60)</f>
        <v>8.2755112178792209E-3</v>
      </c>
      <c r="V70">
        <f>_xlfn.COVARIANCE.P(N2:N60, T2:T60)</f>
        <v>6.6213334644921887E-3</v>
      </c>
      <c r="W70">
        <f>_xlfn.COVARIANCE.P(N2:N60, U2:U60)</f>
        <v>5.32947459840154E-3</v>
      </c>
      <c r="X70">
        <f>_xlfn.COVARIANCE.P(O2:O60, P2:P60)</f>
        <v>5.7784174253746939E-3</v>
      </c>
      <c r="Y70">
        <f>_xlfn.COVARIANCE.P(O2:O60, Q2:Q60)</f>
        <v>6.2480911274346912E-3</v>
      </c>
    </row>
    <row r="71" spans="1:25" ht="18" x14ac:dyDescent="0.2">
      <c r="A71" s="5">
        <v>45870</v>
      </c>
      <c r="B71" s="6">
        <v>46.36</v>
      </c>
      <c r="C71" s="6">
        <v>50.92</v>
      </c>
      <c r="D71" s="6">
        <v>44.75</v>
      </c>
      <c r="E71" s="6">
        <v>50.74</v>
      </c>
      <c r="F71" s="6">
        <v>50.46</v>
      </c>
      <c r="G71" s="7">
        <v>728384200</v>
      </c>
      <c r="M71" t="s">
        <v>38</v>
      </c>
      <c r="N71" t="s">
        <v>39</v>
      </c>
      <c r="O71" t="s">
        <v>40</v>
      </c>
      <c r="P71" t="s">
        <v>41</v>
      </c>
      <c r="Q71" t="s">
        <v>42</v>
      </c>
      <c r="R71" t="s">
        <v>43</v>
      </c>
      <c r="S71" t="s">
        <v>44</v>
      </c>
      <c r="T71" t="s">
        <v>45</v>
      </c>
      <c r="U71" t="s">
        <v>46</v>
      </c>
      <c r="V71" t="s">
        <v>47</v>
      </c>
      <c r="W71" t="s">
        <v>48</v>
      </c>
      <c r="X71" t="s">
        <v>49</v>
      </c>
      <c r="Y71" t="s">
        <v>50</v>
      </c>
    </row>
    <row r="72" spans="1:25" ht="18" x14ac:dyDescent="0.2">
      <c r="A72" s="5">
        <v>45839</v>
      </c>
      <c r="B72" s="6">
        <v>47.02</v>
      </c>
      <c r="C72" s="6">
        <v>49.31</v>
      </c>
      <c r="D72" s="6">
        <v>45.01</v>
      </c>
      <c r="E72" s="6">
        <v>47.27</v>
      </c>
      <c r="F72" s="6">
        <v>47.01</v>
      </c>
      <c r="G72" s="7">
        <v>906389900</v>
      </c>
      <c r="M72">
        <f>_xlfn.COVARIANCE.P(O2:O60, R2:R60)</f>
        <v>5.0384556135390293E-3</v>
      </c>
      <c r="N72">
        <f>_xlfn.COVARIANCE.P(O2:O60, S2:S60)</f>
        <v>7.479014415542105E-3</v>
      </c>
      <c r="O72">
        <f>_xlfn.COVARIANCE.P(O2:O60, T2:T60)</f>
        <v>6.0483844835807861E-3</v>
      </c>
      <c r="P72">
        <f>_xlfn.COVARIANCE.P(O2:O60, U2:U60)</f>
        <v>4.9337917415266056E-3</v>
      </c>
      <c r="Q72">
        <f>_xlfn.COVARIANCE.P(P2:P60, Q2:Q60)</f>
        <v>8.1588070625181648E-3</v>
      </c>
      <c r="R72">
        <f>_xlfn.COVARIANCE.P(P2:P60, R2:R60)</f>
        <v>6.5164557837881568E-3</v>
      </c>
      <c r="S72">
        <f>_xlfn.COVARIANCE.P(P2:P60, S2:S60)</f>
        <v>1.1146429513925067E-2</v>
      </c>
      <c r="T72">
        <f>_xlfn.COVARIANCE.P(P2:P60, T2:T60)</f>
        <v>8.52772041536079E-3</v>
      </c>
      <c r="U72">
        <f>_xlfn.COVARIANCE.P(P2:P60, U2:U60)</f>
        <v>7.1005470766161809E-3</v>
      </c>
      <c r="V72">
        <f>_xlfn.COVARIANCE.P(Q2:Q60, R2:R60)</f>
        <v>7.2515273531234522E-3</v>
      </c>
      <c r="W72">
        <f>_xlfn.COVARIANCE.P(Q2:Q60, S2:S60)</f>
        <v>1.2822630924027379E-2</v>
      </c>
      <c r="X72">
        <f>_xlfn.COVARIANCE.P(Q2:Q60, T2:T60)</f>
        <v>1.0254775761432529E-2</v>
      </c>
      <c r="Y72">
        <f>_xlfn.COVARIANCE.P(Q2:Q60, U2:U60)</f>
        <v>8.6335493810513128E-3</v>
      </c>
    </row>
    <row r="73" spans="1:25" ht="18" x14ac:dyDescent="0.2">
      <c r="A73" s="5">
        <v>45809</v>
      </c>
      <c r="B73" s="6">
        <v>43.88</v>
      </c>
      <c r="C73" s="6">
        <v>47.67</v>
      </c>
      <c r="D73" s="6">
        <v>43.36</v>
      </c>
      <c r="E73" s="6">
        <v>47.32</v>
      </c>
      <c r="F73" s="6">
        <v>46.78</v>
      </c>
      <c r="G73" s="7">
        <v>775768400</v>
      </c>
      <c r="M73" t="s">
        <v>51</v>
      </c>
      <c r="N73" t="s">
        <v>52</v>
      </c>
      <c r="O73" t="s">
        <v>53</v>
      </c>
      <c r="P73" t="s">
        <v>54</v>
      </c>
      <c r="Q73" t="s">
        <v>55</v>
      </c>
      <c r="R73" t="s">
        <v>56</v>
      </c>
      <c r="S73" t="s">
        <v>57</v>
      </c>
      <c r="T73" t="s">
        <v>58</v>
      </c>
      <c r="U73" t="s">
        <v>59</v>
      </c>
      <c r="V73" t="s">
        <v>60</v>
      </c>
      <c r="W73" t="s">
        <v>61</v>
      </c>
      <c r="X73" t="s">
        <v>62</v>
      </c>
      <c r="Y73" t="s">
        <v>63</v>
      </c>
    </row>
    <row r="74" spans="1:25" ht="18" x14ac:dyDescent="0.2">
      <c r="A74" s="5">
        <v>45778</v>
      </c>
      <c r="B74" s="6">
        <v>39.82</v>
      </c>
      <c r="C74" s="6">
        <v>45.14</v>
      </c>
      <c r="D74" s="6">
        <v>39.58</v>
      </c>
      <c r="E74" s="6">
        <v>44.13</v>
      </c>
      <c r="F74" s="6">
        <v>43.63</v>
      </c>
      <c r="G74" s="7">
        <v>822871900</v>
      </c>
      <c r="M74">
        <f>_xlfn.COVARIANCE.P(R2:R60, S2:S60)</f>
        <v>9.7558541094634986E-3</v>
      </c>
      <c r="N74">
        <f>_xlfn.COVARIANCE.P(R2:R60, T2:T60)</f>
        <v>7.7447410381232644E-3</v>
      </c>
      <c r="O74">
        <f>_xlfn.COVARIANCE.P(R2:R60, U2:U60)</f>
        <v>5.7307415292460213E-3</v>
      </c>
      <c r="P74">
        <f>_xlfn.COVARIANCE.P(S2:S60, T2:T60)</f>
        <v>1.4072604918784481E-2</v>
      </c>
      <c r="Q74">
        <f>_xlfn.COVARIANCE.P(S2:S60, U2:U60)</f>
        <v>9.3908398095309351E-3</v>
      </c>
      <c r="R74">
        <f>_xlfn.COVARIANCE.P(T2:T60, U2:U60)</f>
        <v>8.2470715008467841E-3</v>
      </c>
    </row>
    <row r="75" spans="1:25" ht="18" x14ac:dyDescent="0.2">
      <c r="A75" s="5">
        <v>45748</v>
      </c>
      <c r="B75" s="6">
        <v>41.32</v>
      </c>
      <c r="C75" s="6">
        <v>41.97</v>
      </c>
      <c r="D75" s="6">
        <v>33.07</v>
      </c>
      <c r="E75" s="6">
        <v>39.880000000000003</v>
      </c>
      <c r="F75" s="6">
        <v>39.43</v>
      </c>
      <c r="G75" s="7">
        <v>1359333800</v>
      </c>
      <c r="M75" t="s">
        <v>64</v>
      </c>
      <c r="N75" t="s">
        <v>65</v>
      </c>
      <c r="O75" t="s">
        <v>66</v>
      </c>
      <c r="P75" t="s">
        <v>67</v>
      </c>
      <c r="Q75" t="s">
        <v>68</v>
      </c>
      <c r="R75" t="s">
        <v>69</v>
      </c>
    </row>
    <row r="76" spans="1:25" ht="18" x14ac:dyDescent="0.2">
      <c r="A76" s="5">
        <v>45717</v>
      </c>
      <c r="B76" s="6">
        <v>46.21</v>
      </c>
      <c r="C76" s="6">
        <v>46.96</v>
      </c>
      <c r="D76" s="6">
        <v>39.18</v>
      </c>
      <c r="E76" s="6">
        <v>41.73</v>
      </c>
      <c r="F76" s="6">
        <v>41</v>
      </c>
      <c r="G76" s="7">
        <v>936464600</v>
      </c>
    </row>
    <row r="77" spans="1:25" ht="18" x14ac:dyDescent="0.2">
      <c r="A77" s="5">
        <v>45689</v>
      </c>
      <c r="B77" s="6">
        <v>45.42</v>
      </c>
      <c r="C77" s="6">
        <v>47.98</v>
      </c>
      <c r="D77" s="6">
        <v>43.35</v>
      </c>
      <c r="E77" s="6">
        <v>46.1</v>
      </c>
      <c r="F77" s="6">
        <v>45.29</v>
      </c>
      <c r="G77" s="7">
        <v>650240100</v>
      </c>
    </row>
    <row r="78" spans="1:25" ht="18" x14ac:dyDescent="0.2">
      <c r="A78" s="5">
        <v>45658</v>
      </c>
      <c r="B78" s="6">
        <v>44.14</v>
      </c>
      <c r="C78" s="6">
        <v>47.51</v>
      </c>
      <c r="D78" s="6">
        <v>43.8</v>
      </c>
      <c r="E78" s="6">
        <v>46.3</v>
      </c>
      <c r="F78" s="6">
        <v>45.49</v>
      </c>
      <c r="G78" s="7">
        <v>739447500</v>
      </c>
      <c r="L78" t="s">
        <v>24</v>
      </c>
    </row>
    <row r="79" spans="1:25" ht="18" x14ac:dyDescent="0.2">
      <c r="A79" s="5">
        <v>45627</v>
      </c>
      <c r="B79" s="6">
        <v>47.74</v>
      </c>
      <c r="C79" s="6">
        <v>47.82</v>
      </c>
      <c r="D79" s="6">
        <v>42.78</v>
      </c>
      <c r="E79" s="6">
        <v>43.95</v>
      </c>
      <c r="F79" s="6">
        <v>42.94</v>
      </c>
      <c r="G79" s="7">
        <v>652159200</v>
      </c>
      <c r="M79">
        <f>_xlfn.COVARIANCE.P(M2:M60,M2:M60)</f>
        <v>4.8765615106782078E-3</v>
      </c>
      <c r="N79" s="11">
        <v>4.9191699999999996E-3</v>
      </c>
      <c r="O79" s="11">
        <v>4.3728700000000001E-3</v>
      </c>
      <c r="P79" s="11">
        <v>4.7784200000000002E-3</v>
      </c>
      <c r="Q79" s="11">
        <v>4.5883800000000004E-3</v>
      </c>
      <c r="R79" s="11">
        <v>3.9159900000000003E-3</v>
      </c>
      <c r="S79" s="11">
        <v>6.1747199999999999E-3</v>
      </c>
      <c r="T79" s="11">
        <v>4.79657E-3</v>
      </c>
      <c r="U79" s="11">
        <v>3.8857399999999999E-3</v>
      </c>
    </row>
    <row r="80" spans="1:25" ht="18" x14ac:dyDescent="0.2">
      <c r="A80" s="5">
        <v>45597</v>
      </c>
      <c r="B80" s="6">
        <v>42.15</v>
      </c>
      <c r="C80" s="6">
        <v>48.08</v>
      </c>
      <c r="D80" s="6">
        <v>41.11</v>
      </c>
      <c r="E80" s="6">
        <v>47.51</v>
      </c>
      <c r="F80" s="6">
        <v>46.42</v>
      </c>
      <c r="G80" s="7">
        <v>776323600</v>
      </c>
      <c r="M80" s="11">
        <v>4.9191699999999996E-3</v>
      </c>
      <c r="N80" s="11">
        <v>6.6573600000000002E-3</v>
      </c>
      <c r="O80" s="11">
        <v>5.8743399999999996E-3</v>
      </c>
      <c r="P80" s="11">
        <v>6.2032099999999998E-3</v>
      </c>
      <c r="Q80" s="11">
        <v>6.6549399999999998E-3</v>
      </c>
      <c r="R80" s="11">
        <v>5.3503500000000002E-3</v>
      </c>
      <c r="S80" s="11">
        <v>8.2755099999999998E-3</v>
      </c>
      <c r="T80" s="11">
        <v>6.6213299999999999E-3</v>
      </c>
      <c r="U80" s="11">
        <v>5.3294700000000002E-3</v>
      </c>
    </row>
    <row r="81" spans="1:23" ht="18" x14ac:dyDescent="0.2">
      <c r="A81" s="5">
        <v>45566</v>
      </c>
      <c r="B81" s="6">
        <v>39.51</v>
      </c>
      <c r="C81" s="6">
        <v>43.36</v>
      </c>
      <c r="D81" s="6">
        <v>38.729999999999997</v>
      </c>
      <c r="E81" s="6">
        <v>41.82</v>
      </c>
      <c r="F81" s="6">
        <v>40.86</v>
      </c>
      <c r="G81" s="7">
        <v>722829900</v>
      </c>
      <c r="M81" s="11">
        <v>4.3728700000000001E-3</v>
      </c>
      <c r="N81" s="11">
        <v>5.8743399999999996E-3</v>
      </c>
      <c r="O81">
        <f>_xlfn.COVARIANCE.P(O2:O60,O2:O60)</f>
        <v>6.7053327279871493E-3</v>
      </c>
      <c r="P81" s="11">
        <v>5.7784200000000003E-3</v>
      </c>
      <c r="Q81" s="11">
        <v>6.2480900000000004E-3</v>
      </c>
      <c r="R81" s="11">
        <v>5.0384599999999998E-3</v>
      </c>
      <c r="S81" s="11">
        <v>7.4790100000000003E-3</v>
      </c>
      <c r="T81" s="11">
        <v>6.0483799999999999E-3</v>
      </c>
      <c r="U81" s="11">
        <v>4.9337900000000004E-3</v>
      </c>
    </row>
    <row r="82" spans="1:23" ht="18" x14ac:dyDescent="0.2">
      <c r="A82" s="5">
        <v>45536</v>
      </c>
      <c r="B82" s="6">
        <v>40.58</v>
      </c>
      <c r="C82" s="6">
        <v>41.05</v>
      </c>
      <c r="D82" s="6">
        <v>38.01</v>
      </c>
      <c r="E82" s="6">
        <v>39.68</v>
      </c>
      <c r="F82" s="6">
        <v>38.520000000000003</v>
      </c>
      <c r="G82" s="7">
        <v>794903800</v>
      </c>
      <c r="M82" s="11">
        <v>4.7784200000000002E-3</v>
      </c>
      <c r="N82" s="11">
        <v>6.2032099999999998E-3</v>
      </c>
      <c r="O82" s="11">
        <v>5.7784200000000003E-3</v>
      </c>
      <c r="P82">
        <f>_xlfn.COVARIANCE.P(P2:P60,P2:P60)</f>
        <v>8.0907062214802799E-3</v>
      </c>
      <c r="Q82" s="11">
        <v>8.1588100000000007E-3</v>
      </c>
      <c r="R82" s="11">
        <v>6.51646E-3</v>
      </c>
      <c r="S82" s="11">
        <v>1.1146430000000001E-2</v>
      </c>
      <c r="T82" s="11">
        <v>8.5277200000000008E-3</v>
      </c>
      <c r="U82" s="11">
        <v>7.1005499999999997E-3</v>
      </c>
    </row>
    <row r="83" spans="1:23" ht="18" x14ac:dyDescent="0.2">
      <c r="A83" s="5">
        <v>45505</v>
      </c>
      <c r="B83" s="6">
        <v>40.44</v>
      </c>
      <c r="C83" s="6">
        <v>40.86</v>
      </c>
      <c r="D83" s="6">
        <v>35.14</v>
      </c>
      <c r="E83" s="6">
        <v>40.75</v>
      </c>
      <c r="F83" s="6">
        <v>39.56</v>
      </c>
      <c r="G83" s="7">
        <v>894057800</v>
      </c>
      <c r="M83" s="11">
        <v>4.5883800000000004E-3</v>
      </c>
      <c r="N83" s="11">
        <v>6.6549399999999998E-3</v>
      </c>
      <c r="O83" s="11">
        <v>6.2480900000000004E-3</v>
      </c>
      <c r="P83" s="11">
        <v>8.1588100000000007E-3</v>
      </c>
      <c r="Q83">
        <f>_xlfn.COVARIANCE.P(Q2:Q60,Q2:Q60)</f>
        <v>1.1582407117978217E-2</v>
      </c>
      <c r="R83" s="11">
        <v>7.25153E-3</v>
      </c>
      <c r="S83" s="11">
        <v>1.282263E-2</v>
      </c>
      <c r="T83" s="11">
        <v>1.025478E-2</v>
      </c>
      <c r="U83" s="11">
        <v>8.6335500000000003E-3</v>
      </c>
    </row>
    <row r="84" spans="1:23" ht="18" x14ac:dyDescent="0.2">
      <c r="A84" s="5">
        <v>45474</v>
      </c>
      <c r="B84" s="6">
        <v>39.909999999999997</v>
      </c>
      <c r="C84" s="6">
        <v>44.44</v>
      </c>
      <c r="D84" s="6">
        <v>39.67</v>
      </c>
      <c r="E84" s="6">
        <v>40.31</v>
      </c>
      <c r="F84" s="6">
        <v>39.130000000000003</v>
      </c>
      <c r="G84" s="7">
        <v>868095500</v>
      </c>
      <c r="M84" s="11">
        <v>3.9159900000000003E-3</v>
      </c>
      <c r="N84" s="11">
        <v>5.3503500000000002E-3</v>
      </c>
      <c r="O84" s="11">
        <v>5.0384599999999998E-3</v>
      </c>
      <c r="P84" s="11">
        <v>6.51646E-3</v>
      </c>
      <c r="Q84" s="11">
        <v>7.25153E-3</v>
      </c>
      <c r="R84">
        <f>_xlfn.COVARIANCE.P(R2:R60,R2:R60)</f>
        <v>6.6046656675664327E-3</v>
      </c>
      <c r="S84" s="11">
        <v>9.7558499999999999E-3</v>
      </c>
      <c r="T84" s="11">
        <v>7.74474E-3</v>
      </c>
      <c r="U84" s="11">
        <v>5.7307399999999998E-3</v>
      </c>
    </row>
    <row r="85" spans="1:23" ht="18" x14ac:dyDescent="0.2">
      <c r="A85" s="5">
        <v>45444</v>
      </c>
      <c r="B85" s="6">
        <v>40.04</v>
      </c>
      <c r="C85" s="6">
        <v>40.340000000000003</v>
      </c>
      <c r="D85" s="6">
        <v>38.340000000000003</v>
      </c>
      <c r="E85" s="6">
        <v>39.770000000000003</v>
      </c>
      <c r="F85" s="6">
        <v>38.369999999999997</v>
      </c>
      <c r="G85" s="7">
        <v>696786300</v>
      </c>
      <c r="M85" s="11">
        <v>6.1747199999999999E-3</v>
      </c>
      <c r="N85" s="11">
        <v>8.2755099999999998E-3</v>
      </c>
      <c r="O85" s="11">
        <v>7.4790100000000003E-3</v>
      </c>
      <c r="P85" s="11">
        <v>1.1146430000000001E-2</v>
      </c>
      <c r="Q85" s="11">
        <v>1.282263E-2</v>
      </c>
      <c r="R85" s="11">
        <v>9.7558499999999999E-3</v>
      </c>
      <c r="S85" s="11">
        <v>2.016515E-2</v>
      </c>
      <c r="T85" s="11">
        <v>1.4072599999999999E-2</v>
      </c>
      <c r="U85" s="11">
        <v>9.3908399999999993E-3</v>
      </c>
    </row>
    <row r="86" spans="1:23" ht="18" x14ac:dyDescent="0.2">
      <c r="A86" s="5">
        <v>45413</v>
      </c>
      <c r="B86" s="6">
        <v>37.21</v>
      </c>
      <c r="C86" s="6">
        <v>40.08</v>
      </c>
      <c r="D86" s="6">
        <v>36.65</v>
      </c>
      <c r="E86" s="6">
        <v>39.99</v>
      </c>
      <c r="F86" s="6">
        <v>38.58</v>
      </c>
      <c r="G86" s="7">
        <v>720885600</v>
      </c>
      <c r="M86" s="11">
        <v>4.79657E-3</v>
      </c>
      <c r="N86" s="11">
        <v>6.6213299999999999E-3</v>
      </c>
      <c r="O86" s="11">
        <v>6.0483799999999999E-3</v>
      </c>
      <c r="P86" s="11">
        <v>8.5277200000000008E-3</v>
      </c>
      <c r="Q86" s="11">
        <v>1.025478E-2</v>
      </c>
      <c r="R86" s="11">
        <v>7.74474E-3</v>
      </c>
      <c r="S86" s="11">
        <v>1.4072599999999999E-2</v>
      </c>
      <c r="T86" s="11">
        <v>1.256028E-2</v>
      </c>
      <c r="U86" s="11">
        <v>8.2470700000000004E-3</v>
      </c>
    </row>
    <row r="87" spans="1:23" ht="18" x14ac:dyDescent="0.2">
      <c r="A87" s="5">
        <v>45383</v>
      </c>
      <c r="B87" s="6">
        <v>37.94</v>
      </c>
      <c r="C87" s="6">
        <v>38.49</v>
      </c>
      <c r="D87" s="6">
        <v>34.15</v>
      </c>
      <c r="E87" s="6">
        <v>37.01</v>
      </c>
      <c r="F87" s="6">
        <v>35.71</v>
      </c>
      <c r="G87" s="7">
        <v>904458100</v>
      </c>
      <c r="M87" s="11">
        <v>3.8857399999999999E-3</v>
      </c>
      <c r="N87" s="11">
        <v>5.3294700000000002E-3</v>
      </c>
      <c r="O87" s="11">
        <v>4.9337900000000004E-3</v>
      </c>
      <c r="P87" s="11">
        <v>7.1005499999999997E-3</v>
      </c>
      <c r="Q87" s="11">
        <v>8.6335500000000003E-3</v>
      </c>
      <c r="R87" s="11">
        <v>5.7307399999999998E-3</v>
      </c>
      <c r="S87" s="11">
        <v>9.3908399999999993E-3</v>
      </c>
      <c r="T87" s="11">
        <v>8.2470700000000004E-3</v>
      </c>
      <c r="U87" s="11">
        <v>1.219838E-2</v>
      </c>
    </row>
    <row r="88" spans="1:23" ht="18" x14ac:dyDescent="0.2">
      <c r="A88" s="5">
        <v>45352</v>
      </c>
      <c r="B88" s="6">
        <v>34.53</v>
      </c>
      <c r="C88" s="6">
        <v>38</v>
      </c>
      <c r="D88" s="6">
        <v>34.03</v>
      </c>
      <c r="E88" s="6">
        <v>37.92</v>
      </c>
      <c r="F88" s="6">
        <v>36.590000000000003</v>
      </c>
      <c r="G88" s="7">
        <v>826724200</v>
      </c>
    </row>
    <row r="89" spans="1:23" ht="18" x14ac:dyDescent="0.2">
      <c r="A89" s="5">
        <v>45323</v>
      </c>
      <c r="B89" s="6">
        <v>33.93</v>
      </c>
      <c r="C89" s="6">
        <v>34.65</v>
      </c>
      <c r="D89" s="6">
        <v>32.35</v>
      </c>
      <c r="E89" s="6">
        <v>34.520000000000003</v>
      </c>
      <c r="F89" s="6">
        <v>33.07</v>
      </c>
      <c r="G89" s="7">
        <v>748360100</v>
      </c>
    </row>
    <row r="90" spans="1:23" ht="18" x14ac:dyDescent="0.2">
      <c r="A90" s="5">
        <v>45292</v>
      </c>
      <c r="B90" s="6">
        <v>33.39</v>
      </c>
      <c r="C90" s="6">
        <v>35.1</v>
      </c>
      <c r="D90" s="6">
        <v>31.27</v>
      </c>
      <c r="E90" s="6">
        <v>34.01</v>
      </c>
      <c r="F90" s="6">
        <v>32.58</v>
      </c>
      <c r="G90" s="7">
        <v>934161500</v>
      </c>
    </row>
    <row r="91" spans="1:23" ht="18" x14ac:dyDescent="0.2">
      <c r="A91" s="5">
        <v>45261</v>
      </c>
      <c r="B91" s="6">
        <v>30.4</v>
      </c>
      <c r="C91" s="6">
        <v>34.07</v>
      </c>
      <c r="D91" s="6">
        <v>30.33</v>
      </c>
      <c r="E91" s="6">
        <v>33.67</v>
      </c>
      <c r="F91" s="6">
        <v>32.26</v>
      </c>
      <c r="G91" s="7">
        <v>863795100</v>
      </c>
      <c r="L91" t="s">
        <v>4</v>
      </c>
    </row>
    <row r="92" spans="1:23" ht="18" x14ac:dyDescent="0.2">
      <c r="A92" s="5">
        <v>45231</v>
      </c>
      <c r="B92" s="6">
        <v>26.44</v>
      </c>
      <c r="C92" s="6">
        <v>30.61</v>
      </c>
      <c r="D92" s="6">
        <v>26.15</v>
      </c>
      <c r="E92" s="6">
        <v>30.49</v>
      </c>
      <c r="F92" s="6">
        <v>28.98</v>
      </c>
      <c r="G92" s="7">
        <v>891085100</v>
      </c>
      <c r="M92" cm="1">
        <f t="array" ref="M92:U100">MINVERSE(M79:U87)</f>
        <v>874.1559566786043</v>
      </c>
      <c r="N92">
        <v>-601.87785576411272</v>
      </c>
      <c r="O92">
        <v>-21.116386815591792</v>
      </c>
      <c r="P92">
        <v>-200.75433855149595</v>
      </c>
      <c r="Q92">
        <v>125.37190857207202</v>
      </c>
      <c r="R92">
        <v>59.798595137168135</v>
      </c>
      <c r="S92">
        <v>-18.462046198594873</v>
      </c>
      <c r="T92">
        <v>11.870945271393527</v>
      </c>
      <c r="U92">
        <v>-0.73976966457486359</v>
      </c>
      <c r="W92">
        <v>1</v>
      </c>
    </row>
    <row r="93" spans="1:23" ht="18" x14ac:dyDescent="0.2">
      <c r="A93" s="5">
        <v>45200</v>
      </c>
      <c r="B93" s="6">
        <v>27.27</v>
      </c>
      <c r="C93" s="6">
        <v>28.04</v>
      </c>
      <c r="D93" s="6">
        <v>24.96</v>
      </c>
      <c r="E93" s="6">
        <v>26.34</v>
      </c>
      <c r="F93" s="6">
        <v>25.04</v>
      </c>
      <c r="G93" s="7">
        <v>1225398800</v>
      </c>
      <c r="M93">
        <v>-601.87785576411216</v>
      </c>
      <c r="N93">
        <v>1352.4893035761254</v>
      </c>
      <c r="O93">
        <v>-477.54487883322207</v>
      </c>
      <c r="P93">
        <v>-167.59446403249601</v>
      </c>
      <c r="Q93">
        <v>-143.52868777825543</v>
      </c>
      <c r="R93">
        <v>-136.05270294403704</v>
      </c>
      <c r="S93">
        <v>58.938444886476219</v>
      </c>
      <c r="T93">
        <v>-21.582586639922035</v>
      </c>
      <c r="U93">
        <v>26.246524219751979</v>
      </c>
      <c r="W93">
        <v>1</v>
      </c>
    </row>
    <row r="94" spans="1:23" ht="18" x14ac:dyDescent="0.2">
      <c r="A94" s="5">
        <v>45170</v>
      </c>
      <c r="B94" s="6">
        <v>28.76</v>
      </c>
      <c r="C94" s="6">
        <v>29.44</v>
      </c>
      <c r="D94" s="6">
        <v>27.01</v>
      </c>
      <c r="E94" s="6">
        <v>27.38</v>
      </c>
      <c r="F94" s="6">
        <v>26.02</v>
      </c>
      <c r="G94" s="7">
        <v>777431200</v>
      </c>
      <c r="M94">
        <v>-21.116386815591504</v>
      </c>
      <c r="N94">
        <v>-477.5448788332227</v>
      </c>
      <c r="O94">
        <v>703.50170622386872</v>
      </c>
      <c r="P94">
        <v>-121.51668707380249</v>
      </c>
      <c r="Q94">
        <v>-69.053483739128339</v>
      </c>
      <c r="R94">
        <v>-93.933154944745425</v>
      </c>
      <c r="S94">
        <v>71.628592677208658</v>
      </c>
      <c r="T94">
        <v>21.047138962441228</v>
      </c>
      <c r="U94">
        <v>25.18964279485666</v>
      </c>
      <c r="W94">
        <v>1</v>
      </c>
    </row>
    <row r="95" spans="1:23" ht="18" x14ac:dyDescent="0.2">
      <c r="A95" s="5">
        <v>45139</v>
      </c>
      <c r="B95" s="6">
        <v>31.84</v>
      </c>
      <c r="C95" s="6">
        <v>31.94</v>
      </c>
      <c r="D95" s="6">
        <v>28.18</v>
      </c>
      <c r="E95" s="6">
        <v>28.67</v>
      </c>
      <c r="F95" s="6">
        <v>27.02</v>
      </c>
      <c r="G95" s="7">
        <v>809814400</v>
      </c>
      <c r="M95">
        <v>-200.7543385514974</v>
      </c>
      <c r="N95">
        <v>-167.59446403249396</v>
      </c>
      <c r="O95">
        <v>-121.51668707380293</v>
      </c>
      <c r="P95">
        <v>1282.9153347891881</v>
      </c>
      <c r="Q95">
        <v>5.5384099121057293</v>
      </c>
      <c r="R95">
        <v>-343.106451376785</v>
      </c>
      <c r="S95">
        <v>-287.00910488502183</v>
      </c>
      <c r="T95">
        <v>1.3694253305900621</v>
      </c>
      <c r="U95">
        <v>-183.15524446570063</v>
      </c>
      <c r="W95">
        <v>1</v>
      </c>
    </row>
    <row r="96" spans="1:23" ht="18" x14ac:dyDescent="0.2">
      <c r="A96" s="5">
        <v>45108</v>
      </c>
      <c r="B96" s="6">
        <v>28.7</v>
      </c>
      <c r="C96" s="6">
        <v>32.85</v>
      </c>
      <c r="D96" s="6">
        <v>28.1</v>
      </c>
      <c r="E96" s="6">
        <v>32</v>
      </c>
      <c r="F96" s="6">
        <v>30.16</v>
      </c>
      <c r="G96" s="7">
        <v>968946700</v>
      </c>
      <c r="M96">
        <v>125.37190857207146</v>
      </c>
      <c r="N96">
        <v>-143.52868777825438</v>
      </c>
      <c r="O96">
        <v>-69.053483739128453</v>
      </c>
      <c r="P96">
        <v>5.5384099121055348</v>
      </c>
      <c r="Q96">
        <v>504.60322172964004</v>
      </c>
      <c r="R96">
        <v>-65.518369391305455</v>
      </c>
      <c r="S96">
        <v>-118.71433223266169</v>
      </c>
      <c r="T96">
        <v>-104.64109312580487</v>
      </c>
      <c r="U96">
        <v>-116.74499880270972</v>
      </c>
      <c r="W96">
        <v>1</v>
      </c>
    </row>
    <row r="97" spans="1:23" ht="18" x14ac:dyDescent="0.2">
      <c r="A97" s="5">
        <v>45078</v>
      </c>
      <c r="B97" s="6">
        <v>27.76</v>
      </c>
      <c r="C97" s="6">
        <v>29.8</v>
      </c>
      <c r="D97" s="6">
        <v>27.34</v>
      </c>
      <c r="E97" s="6">
        <v>28.69</v>
      </c>
      <c r="F97" s="6">
        <v>26.83</v>
      </c>
      <c r="G97" s="7">
        <v>968664200</v>
      </c>
      <c r="M97">
        <v>59.798595137167595</v>
      </c>
      <c r="N97">
        <v>-136.05270294403667</v>
      </c>
      <c r="O97">
        <v>-93.933154944745795</v>
      </c>
      <c r="P97">
        <v>-343.10645137678432</v>
      </c>
      <c r="Q97">
        <v>-65.518369391305086</v>
      </c>
      <c r="R97">
        <v>974.14563637899255</v>
      </c>
      <c r="S97">
        <v>-65.24143445662844</v>
      </c>
      <c r="T97">
        <v>-166.41649558817781</v>
      </c>
      <c r="U97">
        <v>29.56286769291934</v>
      </c>
      <c r="W97">
        <v>1</v>
      </c>
    </row>
    <row r="98" spans="1:23" ht="18" x14ac:dyDescent="0.2">
      <c r="A98" s="5">
        <v>45047</v>
      </c>
      <c r="B98" s="6">
        <v>29.5</v>
      </c>
      <c r="C98" s="6">
        <v>29.54</v>
      </c>
      <c r="D98" s="6">
        <v>26.83</v>
      </c>
      <c r="E98" s="6">
        <v>27.79</v>
      </c>
      <c r="F98" s="6">
        <v>25.99</v>
      </c>
      <c r="G98" s="7">
        <v>1047826900</v>
      </c>
      <c r="M98">
        <v>-18.462046198594226</v>
      </c>
      <c r="N98">
        <v>58.938444886475843</v>
      </c>
      <c r="O98">
        <v>71.628592677208701</v>
      </c>
      <c r="P98">
        <v>-287.00910488502245</v>
      </c>
      <c r="Q98">
        <v>-118.71433223266195</v>
      </c>
      <c r="R98">
        <v>-65.241434456627843</v>
      </c>
      <c r="S98">
        <v>360.99168524391456</v>
      </c>
      <c r="T98">
        <v>-182.34640782439044</v>
      </c>
      <c r="U98">
        <v>78.269930615267526</v>
      </c>
      <c r="W98">
        <v>1</v>
      </c>
    </row>
    <row r="99" spans="1:23" ht="18" x14ac:dyDescent="0.2">
      <c r="A99" s="5">
        <v>45017</v>
      </c>
      <c r="B99" s="6">
        <v>28.64</v>
      </c>
      <c r="C99" s="6">
        <v>30.93</v>
      </c>
      <c r="D99" s="6">
        <v>27.46</v>
      </c>
      <c r="E99" s="6">
        <v>29.28</v>
      </c>
      <c r="F99" s="6">
        <v>27.38</v>
      </c>
      <c r="G99" s="7">
        <v>1028255800</v>
      </c>
      <c r="M99">
        <v>11.870945271394042</v>
      </c>
      <c r="N99">
        <v>-21.582586639923008</v>
      </c>
      <c r="O99">
        <v>21.047138962441373</v>
      </c>
      <c r="P99">
        <v>1.3694253305909316</v>
      </c>
      <c r="Q99">
        <v>-104.64109312580452</v>
      </c>
      <c r="R99">
        <v>-166.41649558817826</v>
      </c>
      <c r="S99">
        <v>-182.34640782439067</v>
      </c>
      <c r="T99">
        <v>499.94705136359943</v>
      </c>
      <c r="U99">
        <v>-49.044881909232217</v>
      </c>
      <c r="W99">
        <v>1</v>
      </c>
    </row>
    <row r="100" spans="1:23" ht="18" x14ac:dyDescent="0.2">
      <c r="A100" s="5">
        <v>44986</v>
      </c>
      <c r="B100" s="6">
        <v>34.15</v>
      </c>
      <c r="C100" s="6">
        <v>34.56</v>
      </c>
      <c r="D100" s="6">
        <v>26.32</v>
      </c>
      <c r="E100" s="6">
        <v>28.6</v>
      </c>
      <c r="F100" s="6">
        <v>26.57</v>
      </c>
      <c r="G100" s="7">
        <v>2061004500</v>
      </c>
      <c r="M100">
        <v>-0.7397696645745786</v>
      </c>
      <c r="N100">
        <v>26.246524219751684</v>
      </c>
      <c r="O100">
        <v>25.189642794856734</v>
      </c>
      <c r="P100">
        <v>-183.15524446570075</v>
      </c>
      <c r="Q100">
        <v>-116.74499880270982</v>
      </c>
      <c r="R100">
        <v>29.56286769291966</v>
      </c>
      <c r="S100">
        <v>78.269930615267413</v>
      </c>
      <c r="T100">
        <v>-49.044881909232046</v>
      </c>
      <c r="U100">
        <v>208.81296594693598</v>
      </c>
      <c r="W100">
        <v>1</v>
      </c>
    </row>
    <row r="101" spans="1:23" ht="18" x14ac:dyDescent="0.2">
      <c r="A101" s="5">
        <v>44958</v>
      </c>
      <c r="B101" s="6">
        <v>35.200000000000003</v>
      </c>
      <c r="C101" s="6">
        <v>37</v>
      </c>
      <c r="D101" s="6">
        <v>33.840000000000003</v>
      </c>
      <c r="E101" s="6">
        <v>34.299999999999997</v>
      </c>
      <c r="F101" s="6">
        <v>31.87</v>
      </c>
      <c r="G101" s="7">
        <v>616776700</v>
      </c>
    </row>
    <row r="102" spans="1:23" ht="18" x14ac:dyDescent="0.2">
      <c r="A102" s="5">
        <v>44927</v>
      </c>
      <c r="B102" s="6">
        <v>33.229999999999997</v>
      </c>
      <c r="C102" s="6">
        <v>35.78</v>
      </c>
      <c r="D102" s="6">
        <v>32.89</v>
      </c>
      <c r="E102" s="6">
        <v>35.479999999999997</v>
      </c>
      <c r="F102" s="6">
        <v>32.97</v>
      </c>
      <c r="G102" s="7">
        <v>809281100</v>
      </c>
    </row>
    <row r="103" spans="1:23" ht="18" x14ac:dyDescent="0.2">
      <c r="A103" s="5">
        <v>44896</v>
      </c>
      <c r="B103" s="6">
        <v>37.5</v>
      </c>
      <c r="C103" s="6">
        <v>37.69</v>
      </c>
      <c r="D103" s="6">
        <v>31.35</v>
      </c>
      <c r="E103" s="6">
        <v>33.119999999999997</v>
      </c>
      <c r="F103" s="6">
        <v>30.59</v>
      </c>
      <c r="G103" s="7">
        <v>893060200</v>
      </c>
    </row>
    <row r="104" spans="1:23" ht="18" x14ac:dyDescent="0.2">
      <c r="A104" s="5">
        <v>44866</v>
      </c>
      <c r="B104" s="6">
        <v>36.44</v>
      </c>
      <c r="C104" s="6">
        <v>38.6</v>
      </c>
      <c r="D104" s="6">
        <v>35.409999999999997</v>
      </c>
      <c r="E104" s="6">
        <v>37.85</v>
      </c>
      <c r="F104" s="6">
        <v>34.96</v>
      </c>
      <c r="G104" s="7">
        <v>700345500</v>
      </c>
      <c r="M104">
        <f>SUM(M92:M100)</f>
        <v>228.24700866486754</v>
      </c>
    </row>
    <row r="105" spans="1:23" ht="18" x14ac:dyDescent="0.2">
      <c r="A105" s="5">
        <v>44835</v>
      </c>
      <c r="B105" s="6">
        <v>30.59</v>
      </c>
      <c r="C105" s="6">
        <v>36.369999999999997</v>
      </c>
      <c r="D105" s="6">
        <v>29.31</v>
      </c>
      <c r="E105" s="6">
        <v>36.04</v>
      </c>
      <c r="F105" s="6">
        <v>33.29</v>
      </c>
      <c r="G105" s="7">
        <v>980931500</v>
      </c>
      <c r="M105">
        <f>SUM(N92:N100)</f>
        <v>-110.50690330969053</v>
      </c>
    </row>
    <row r="106" spans="1:23" ht="18" x14ac:dyDescent="0.2">
      <c r="A106" s="5">
        <v>44805</v>
      </c>
      <c r="B106" s="6">
        <v>33.340000000000003</v>
      </c>
      <c r="C106" s="6">
        <v>35.630000000000003</v>
      </c>
      <c r="D106" s="6">
        <v>30.17</v>
      </c>
      <c r="E106" s="6">
        <v>30.2</v>
      </c>
      <c r="F106" s="6">
        <v>27.71</v>
      </c>
      <c r="G106" s="7">
        <v>860183900</v>
      </c>
      <c r="M106">
        <f>SUM(O92:O100)</f>
        <v>38.202489251884487</v>
      </c>
    </row>
    <row r="107" spans="1:23" ht="18" x14ac:dyDescent="0.2">
      <c r="A107" s="5">
        <v>44774</v>
      </c>
      <c r="B107" s="6">
        <v>33.619999999999997</v>
      </c>
      <c r="C107" s="6">
        <v>36.94</v>
      </c>
      <c r="D107" s="6">
        <v>33</v>
      </c>
      <c r="E107" s="6">
        <v>33.61</v>
      </c>
      <c r="F107" s="6">
        <v>30.84</v>
      </c>
      <c r="G107" s="7">
        <v>819363100</v>
      </c>
      <c r="M107">
        <f>SUM(P92:P100)</f>
        <v>-13.313120353417389</v>
      </c>
    </row>
    <row r="108" spans="1:23" ht="18" x14ac:dyDescent="0.2">
      <c r="A108" s="5">
        <v>44743</v>
      </c>
      <c r="B108" s="6">
        <v>30.98</v>
      </c>
      <c r="C108" s="6">
        <v>33.979999999999997</v>
      </c>
      <c r="D108" s="6">
        <v>29.67</v>
      </c>
      <c r="E108" s="6">
        <v>33.81</v>
      </c>
      <c r="F108" s="6">
        <v>31.03</v>
      </c>
      <c r="G108" s="7">
        <v>814208000</v>
      </c>
      <c r="M108">
        <f>SUM(Q92:Q100)</f>
        <v>17.312575143952628</v>
      </c>
    </row>
    <row r="109" spans="1:23" ht="18" x14ac:dyDescent="0.2">
      <c r="A109" s="5">
        <v>44713</v>
      </c>
      <c r="B109" s="6">
        <v>37.46</v>
      </c>
      <c r="C109" s="6">
        <v>37.47</v>
      </c>
      <c r="D109" s="6">
        <v>30.64</v>
      </c>
      <c r="E109" s="6">
        <v>31.13</v>
      </c>
      <c r="F109" s="6">
        <v>28.4</v>
      </c>
      <c r="G109" s="7">
        <v>996294300</v>
      </c>
      <c r="M109">
        <f>SUM(R92:R100)</f>
        <v>193.23849050740134</v>
      </c>
    </row>
    <row r="110" spans="1:23" ht="18" x14ac:dyDescent="0.2">
      <c r="A110" s="5">
        <v>44682</v>
      </c>
      <c r="B110" s="6">
        <v>36.03</v>
      </c>
      <c r="C110" s="6">
        <v>38.75</v>
      </c>
      <c r="D110" s="6">
        <v>32.96</v>
      </c>
      <c r="E110" s="6">
        <v>37.200000000000003</v>
      </c>
      <c r="F110" s="6">
        <v>33.94</v>
      </c>
      <c r="G110" s="7">
        <v>1107801400</v>
      </c>
      <c r="M110">
        <f>SUM(S92:S100)</f>
        <v>-101.94467217443065</v>
      </c>
    </row>
    <row r="111" spans="1:23" ht="18" x14ac:dyDescent="0.2">
      <c r="A111" s="5">
        <v>44652</v>
      </c>
      <c r="B111" s="6">
        <v>41.69</v>
      </c>
      <c r="C111" s="6">
        <v>41.74</v>
      </c>
      <c r="D111" s="6">
        <v>35.54</v>
      </c>
      <c r="E111" s="6">
        <v>35.68</v>
      </c>
      <c r="F111" s="6">
        <v>32.56</v>
      </c>
      <c r="G111" s="7">
        <v>1032209900</v>
      </c>
      <c r="M111">
        <f>SUM(T92:T100)</f>
        <v>10.203095840497056</v>
      </c>
    </row>
    <row r="112" spans="1:23" ht="18" x14ac:dyDescent="0.2">
      <c r="A112" s="5">
        <v>44621</v>
      </c>
      <c r="B112" s="6">
        <v>43.71</v>
      </c>
      <c r="C112" s="6">
        <v>44.63</v>
      </c>
      <c r="D112" s="6">
        <v>38.17</v>
      </c>
      <c r="E112" s="6">
        <v>41.22</v>
      </c>
      <c r="F112" s="6">
        <v>37.43</v>
      </c>
      <c r="G112" s="7">
        <v>1312818500</v>
      </c>
      <c r="M112">
        <f>SUM(U92:U100)</f>
        <v>18.397036427514053</v>
      </c>
    </row>
    <row r="113" spans="1:16" ht="18" x14ac:dyDescent="0.2">
      <c r="A113" s="5">
        <v>44593</v>
      </c>
      <c r="B113" s="6">
        <v>46.21</v>
      </c>
      <c r="C113" s="6">
        <v>50.11</v>
      </c>
      <c r="D113" s="6">
        <v>42.05</v>
      </c>
      <c r="E113" s="6">
        <v>44.2</v>
      </c>
      <c r="F113" s="6">
        <v>40.130000000000003</v>
      </c>
      <c r="G113" s="7">
        <v>941748700</v>
      </c>
      <c r="M113">
        <f>SUM(M104:M112)</f>
        <v>279.83599999857859</v>
      </c>
    </row>
    <row r="114" spans="1:16" ht="18" x14ac:dyDescent="0.2">
      <c r="A114" s="5">
        <v>44562</v>
      </c>
      <c r="B114" s="6">
        <v>45.09</v>
      </c>
      <c r="C114" s="6">
        <v>50.08</v>
      </c>
      <c r="D114" s="6">
        <v>42.59</v>
      </c>
      <c r="E114" s="6">
        <v>46.14</v>
      </c>
      <c r="F114" s="6">
        <v>41.89</v>
      </c>
      <c r="G114" s="7">
        <v>1225178700</v>
      </c>
    </row>
    <row r="115" spans="1:16" ht="18" x14ac:dyDescent="0.2">
      <c r="A115" s="5">
        <v>44531</v>
      </c>
      <c r="B115" s="6">
        <v>45.22</v>
      </c>
      <c r="C115" s="6">
        <v>45.7</v>
      </c>
      <c r="D115" s="6">
        <v>42.7</v>
      </c>
      <c r="E115" s="6">
        <v>44.49</v>
      </c>
      <c r="F115" s="6">
        <v>40.200000000000003</v>
      </c>
      <c r="G115" s="7">
        <v>1060922000</v>
      </c>
      <c r="O115">
        <f>1/M113*M104</f>
        <v>0.81564562338665114</v>
      </c>
    </row>
    <row r="116" spans="1:16" ht="18" x14ac:dyDescent="0.2">
      <c r="A116" s="5">
        <v>44501</v>
      </c>
      <c r="B116" s="6">
        <v>48.1</v>
      </c>
      <c r="C116" s="6">
        <v>48.69</v>
      </c>
      <c r="D116" s="6">
        <v>44.36</v>
      </c>
      <c r="E116" s="6">
        <v>44.47</v>
      </c>
      <c r="F116" s="6">
        <v>40.18</v>
      </c>
      <c r="G116" s="7">
        <v>895399100</v>
      </c>
      <c r="O116">
        <f>1/M113*M105</f>
        <v>-0.39489880969657887</v>
      </c>
    </row>
    <row r="117" spans="1:16" ht="18" x14ac:dyDescent="0.2">
      <c r="A117" s="5">
        <v>44470</v>
      </c>
      <c r="B117" s="6">
        <v>42.48</v>
      </c>
      <c r="C117" s="6">
        <v>48.43</v>
      </c>
      <c r="D117" s="6">
        <v>42.33</v>
      </c>
      <c r="E117" s="6">
        <v>47.78</v>
      </c>
      <c r="F117" s="6">
        <v>43.18</v>
      </c>
      <c r="G117" s="7">
        <v>917220900</v>
      </c>
      <c r="O117">
        <f>1/M113*M106</f>
        <v>0.13651742181877433</v>
      </c>
    </row>
    <row r="118" spans="1:16" ht="18" x14ac:dyDescent="0.2">
      <c r="A118" s="5">
        <v>44440</v>
      </c>
      <c r="B118" s="6">
        <v>41.75</v>
      </c>
      <c r="C118" s="6">
        <v>44.04</v>
      </c>
      <c r="D118" s="6">
        <v>38.36</v>
      </c>
      <c r="E118" s="6">
        <v>42.45</v>
      </c>
      <c r="F118" s="6">
        <v>38.159999999999997</v>
      </c>
      <c r="G118" s="7">
        <v>1022318600</v>
      </c>
      <c r="O118">
        <f>1/M113*M107</f>
        <v>-4.7574723600555369E-2</v>
      </c>
    </row>
    <row r="119" spans="1:16" ht="18" x14ac:dyDescent="0.2">
      <c r="A119" s="5">
        <v>44409</v>
      </c>
      <c r="B119" s="6">
        <v>38.4</v>
      </c>
      <c r="C119" s="6">
        <v>42.84</v>
      </c>
      <c r="D119" s="6">
        <v>37.549999999999997</v>
      </c>
      <c r="E119" s="6">
        <v>41.75</v>
      </c>
      <c r="F119" s="6">
        <v>37.53</v>
      </c>
      <c r="G119" s="7">
        <v>997266200</v>
      </c>
      <c r="O119">
        <f>1/M113*M108</f>
        <v>6.1866861819210417E-2</v>
      </c>
    </row>
    <row r="120" spans="1:16" ht="18" x14ac:dyDescent="0.2">
      <c r="A120" s="5">
        <v>44378</v>
      </c>
      <c r="B120" s="6">
        <v>41.56</v>
      </c>
      <c r="C120" s="6">
        <v>41.7</v>
      </c>
      <c r="D120" s="6">
        <v>36.51</v>
      </c>
      <c r="E120" s="6">
        <v>38.36</v>
      </c>
      <c r="F120" s="6">
        <v>34.49</v>
      </c>
      <c r="G120" s="7">
        <v>1060522600</v>
      </c>
      <c r="O120">
        <f>1/M113*M109</f>
        <v>0.69054192637252854</v>
      </c>
    </row>
    <row r="121" spans="1:16" ht="18" x14ac:dyDescent="0.2">
      <c r="A121" s="5">
        <v>44348</v>
      </c>
      <c r="B121" s="6">
        <v>42.95</v>
      </c>
      <c r="C121" s="6">
        <v>43.49</v>
      </c>
      <c r="D121" s="6">
        <v>38.49</v>
      </c>
      <c r="E121" s="6">
        <v>41.23</v>
      </c>
      <c r="F121" s="6">
        <v>36.909999999999997</v>
      </c>
      <c r="G121" s="7">
        <v>984580900</v>
      </c>
      <c r="O121">
        <f>1/M113*M110</f>
        <v>-0.3643014914984079</v>
      </c>
    </row>
    <row r="122" spans="1:16" ht="18" x14ac:dyDescent="0.2">
      <c r="A122" s="5">
        <v>44317</v>
      </c>
      <c r="B122" s="6">
        <v>40.869999999999997</v>
      </c>
      <c r="C122" s="6">
        <v>43.26</v>
      </c>
      <c r="D122" s="6">
        <v>39.78</v>
      </c>
      <c r="E122" s="6">
        <v>42.39</v>
      </c>
      <c r="F122" s="6">
        <v>37.950000000000003</v>
      </c>
      <c r="G122" s="7">
        <v>823509600</v>
      </c>
      <c r="O122">
        <f>1/M113*M111</f>
        <v>3.6460983720996876E-2</v>
      </c>
    </row>
    <row r="123" spans="1:16" ht="18" x14ac:dyDescent="0.2">
      <c r="A123" s="5">
        <v>44287</v>
      </c>
      <c r="B123" s="6">
        <v>38.83</v>
      </c>
      <c r="C123" s="6">
        <v>41.13</v>
      </c>
      <c r="D123" s="6">
        <v>37.409999999999997</v>
      </c>
      <c r="E123" s="6">
        <v>40.53</v>
      </c>
      <c r="F123" s="6">
        <v>36.29</v>
      </c>
      <c r="G123" s="7">
        <v>1029977500</v>
      </c>
      <c r="O123">
        <f>1/M113*M112</f>
        <v>6.5742207677380676E-2</v>
      </c>
    </row>
    <row r="124" spans="1:16" ht="18" x14ac:dyDescent="0.2">
      <c r="A124" s="5">
        <v>44256</v>
      </c>
      <c r="B124" s="6">
        <v>35.520000000000003</v>
      </c>
      <c r="C124" s="6">
        <v>39.97</v>
      </c>
      <c r="D124" s="6">
        <v>35.24</v>
      </c>
      <c r="E124" s="6">
        <v>38.69</v>
      </c>
      <c r="F124" s="6">
        <v>34.47</v>
      </c>
      <c r="G124" s="7">
        <v>1378848200</v>
      </c>
      <c r="O124">
        <f>SUM(O115:O123)</f>
        <v>0.99999999999999967</v>
      </c>
    </row>
    <row r="125" spans="1:16" ht="18" x14ac:dyDescent="0.2">
      <c r="A125" s="5">
        <v>44228</v>
      </c>
      <c r="B125" s="6">
        <v>29.87</v>
      </c>
      <c r="C125" s="6">
        <v>37.03</v>
      </c>
      <c r="D125" s="6">
        <v>29.57</v>
      </c>
      <c r="E125" s="6">
        <v>34.71</v>
      </c>
      <c r="F125" s="6">
        <v>30.92</v>
      </c>
      <c r="G125" s="7">
        <v>949913300</v>
      </c>
    </row>
    <row r="126" spans="1:16" ht="18" x14ac:dyDescent="0.2">
      <c r="A126" s="5">
        <v>44197</v>
      </c>
      <c r="B126" s="6">
        <v>30.46</v>
      </c>
      <c r="C126" s="6">
        <v>34.369999999999997</v>
      </c>
      <c r="D126" s="6">
        <v>29.59</v>
      </c>
      <c r="E126" s="6">
        <v>29.65</v>
      </c>
      <c r="F126" s="6">
        <v>26.41</v>
      </c>
      <c r="G126" s="7">
        <v>1085862900</v>
      </c>
      <c r="L126" t="s">
        <v>20</v>
      </c>
    </row>
    <row r="127" spans="1:16" ht="18" x14ac:dyDescent="0.2">
      <c r="A127" s="5">
        <v>44166</v>
      </c>
      <c r="B127" s="6">
        <v>28.74</v>
      </c>
      <c r="C127" s="6">
        <v>30.55</v>
      </c>
      <c r="D127" s="6">
        <v>28.14</v>
      </c>
      <c r="E127" s="6">
        <v>30.31</v>
      </c>
      <c r="F127" s="6">
        <v>26.83</v>
      </c>
      <c r="G127" s="7">
        <v>1027329000</v>
      </c>
      <c r="M127">
        <f>(O115)*(M64) +(O116)*(N64) + (O117)*(O64) + (O118)*(P64) + (O119)*(Q64) + (O120)*(R64) + (O121)*(S64) + (O122)*(T64) + (O123)*(U64)</f>
        <v>1.3123299638451482E-2</v>
      </c>
      <c r="P127" s="12" cm="1">
        <f t="array" ref="P127">MMULT(TRANSPOSE(O115:O123), MMULT(M79:U87, O115:O123))</f>
        <v>3.5735216341181209E-3</v>
      </c>
    </row>
    <row r="128" spans="1:16" x14ac:dyDescent="0.2">
      <c r="N128">
        <f>(O115)*(M64)</f>
        <v>1.5909033755750243E-2</v>
      </c>
      <c r="P128">
        <f>SQRT(P127)</f>
        <v>5.9778939720591576E-2</v>
      </c>
    </row>
    <row r="129" spans="1:14" x14ac:dyDescent="0.2">
      <c r="N129">
        <f>(O116)*(N64)</f>
        <v>-5.8420074356926692E-3</v>
      </c>
    </row>
    <row r="130" spans="1:14" x14ac:dyDescent="0.2">
      <c r="N130">
        <f>(O117)*(O64)</f>
        <v>3.1316828270051039E-3</v>
      </c>
    </row>
    <row r="131" spans="1:14" x14ac:dyDescent="0.2">
      <c r="N131">
        <f>(O118)*(P64)</f>
        <v>-7.0401246775270935E-4</v>
      </c>
    </row>
    <row r="132" spans="1:14" x14ac:dyDescent="0.2">
      <c r="N132">
        <f>(O119)*(Q64)</f>
        <v>9.8791048501209369E-4</v>
      </c>
    </row>
    <row r="133" spans="1:14" x14ac:dyDescent="0.2">
      <c r="N133">
        <f>(O120)*(R64)</f>
        <v>4.1258361292663805E-3</v>
      </c>
    </row>
    <row r="134" spans="1:14" x14ac:dyDescent="0.2">
      <c r="N134">
        <f>(O121)*(S64)</f>
        <v>-6.1284414590916814E-3</v>
      </c>
    </row>
    <row r="135" spans="1:14" x14ac:dyDescent="0.2">
      <c r="A135" s="4" t="s">
        <v>7</v>
      </c>
      <c r="B135" s="4" t="s">
        <v>8</v>
      </c>
      <c r="C135" s="4" t="s">
        <v>9</v>
      </c>
      <c r="D135" s="4" t="s">
        <v>10</v>
      </c>
      <c r="E135" s="4" t="s">
        <v>11</v>
      </c>
      <c r="F135" s="4" t="s">
        <v>12</v>
      </c>
      <c r="G135" s="4" t="s">
        <v>13</v>
      </c>
      <c r="N135">
        <f>(O122)*(T64)</f>
        <v>4.3286297929263288E-4</v>
      </c>
    </row>
    <row r="136" spans="1:14" ht="18" x14ac:dyDescent="0.2">
      <c r="A136" s="5">
        <v>45962</v>
      </c>
      <c r="B136" s="6">
        <v>87.14</v>
      </c>
      <c r="C136" s="6">
        <v>88.64</v>
      </c>
      <c r="D136" s="6">
        <v>82.96</v>
      </c>
      <c r="E136" s="6">
        <v>85.05</v>
      </c>
      <c r="F136" s="6">
        <v>84.61</v>
      </c>
      <c r="G136" s="7">
        <v>152398200</v>
      </c>
      <c r="N136">
        <f>(O123)*(U64)</f>
        <v>1.2104348246620878E-3</v>
      </c>
    </row>
    <row r="137" spans="1:14" ht="18" x14ac:dyDescent="0.2">
      <c r="A137" s="5">
        <v>45931</v>
      </c>
      <c r="B137" s="6">
        <v>83.1</v>
      </c>
      <c r="C137" s="6">
        <v>87.47</v>
      </c>
      <c r="D137" s="6">
        <v>77.62</v>
      </c>
      <c r="E137" s="6">
        <v>86.97</v>
      </c>
      <c r="F137" s="6">
        <v>86.52</v>
      </c>
      <c r="G137" s="7">
        <v>366280200</v>
      </c>
    </row>
    <row r="138" spans="1:14" ht="18" x14ac:dyDescent="0.2">
      <c r="A138" s="5">
        <v>45901</v>
      </c>
      <c r="B138" s="6">
        <v>81.709999999999994</v>
      </c>
      <c r="C138" s="6">
        <v>86.66</v>
      </c>
      <c r="D138" s="6">
        <v>78.56</v>
      </c>
      <c r="E138" s="6">
        <v>83.82</v>
      </c>
      <c r="F138" s="6">
        <v>83.38</v>
      </c>
      <c r="G138" s="7">
        <v>296633400</v>
      </c>
    </row>
    <row r="139" spans="1:14" ht="18" x14ac:dyDescent="0.2">
      <c r="A139" s="5">
        <v>45870</v>
      </c>
      <c r="B139" s="6">
        <v>79.19</v>
      </c>
      <c r="C139" s="6">
        <v>83.21</v>
      </c>
      <c r="D139" s="6">
        <v>76.16</v>
      </c>
      <c r="E139" s="6">
        <v>82.18</v>
      </c>
      <c r="F139" s="6">
        <v>81.27</v>
      </c>
      <c r="G139" s="7">
        <v>284526700</v>
      </c>
    </row>
    <row r="140" spans="1:14" ht="18" x14ac:dyDescent="0.2">
      <c r="A140" s="5">
        <v>45839</v>
      </c>
      <c r="B140" s="6">
        <v>80.05</v>
      </c>
      <c r="C140" s="6">
        <v>84.83</v>
      </c>
      <c r="D140" s="6">
        <v>77.72</v>
      </c>
      <c r="E140" s="6">
        <v>80.63</v>
      </c>
      <c r="F140" s="6">
        <v>79.739999999999995</v>
      </c>
      <c r="G140" s="7">
        <v>417623500</v>
      </c>
    </row>
    <row r="141" spans="1:14" ht="18" x14ac:dyDescent="0.2">
      <c r="A141" s="5">
        <v>45809</v>
      </c>
      <c r="B141" s="6">
        <v>74.260000000000005</v>
      </c>
      <c r="C141" s="6">
        <v>81.099999999999994</v>
      </c>
      <c r="D141" s="6">
        <v>71.930000000000007</v>
      </c>
      <c r="E141" s="6">
        <v>80.12</v>
      </c>
      <c r="F141" s="6">
        <v>79.239999999999995</v>
      </c>
      <c r="G141" s="7">
        <v>356076100</v>
      </c>
    </row>
    <row r="142" spans="1:14" ht="18" x14ac:dyDescent="0.2">
      <c r="A142" s="5">
        <v>45778</v>
      </c>
      <c r="B142" s="6">
        <v>70.760000000000005</v>
      </c>
      <c r="C142" s="6">
        <v>76.58</v>
      </c>
      <c r="D142" s="6">
        <v>70.430000000000007</v>
      </c>
      <c r="E142" s="6">
        <v>74.78</v>
      </c>
      <c r="F142" s="6">
        <v>73.55</v>
      </c>
      <c r="G142" s="7">
        <v>305735400</v>
      </c>
    </row>
    <row r="143" spans="1:14" ht="18" x14ac:dyDescent="0.2">
      <c r="A143" s="5">
        <v>45748</v>
      </c>
      <c r="B143" s="6">
        <v>70.84</v>
      </c>
      <c r="C143" s="6">
        <v>72.47</v>
      </c>
      <c r="D143" s="6">
        <v>58.42</v>
      </c>
      <c r="E143" s="6">
        <v>71.010000000000005</v>
      </c>
      <c r="F143" s="6">
        <v>69.84</v>
      </c>
      <c r="G143" s="7">
        <v>493519900</v>
      </c>
    </row>
    <row r="144" spans="1:14" ht="18" x14ac:dyDescent="0.2">
      <c r="A144" s="5">
        <v>45717</v>
      </c>
      <c r="B144" s="6">
        <v>78.86</v>
      </c>
      <c r="C144" s="6">
        <v>78.98</v>
      </c>
      <c r="D144" s="6">
        <v>65.52</v>
      </c>
      <c r="E144" s="6">
        <v>71.790000000000006</v>
      </c>
      <c r="F144" s="6">
        <v>70.61</v>
      </c>
      <c r="G144" s="7">
        <v>363280500</v>
      </c>
    </row>
    <row r="145" spans="1:7" ht="18" x14ac:dyDescent="0.2">
      <c r="A145" s="5">
        <v>45689</v>
      </c>
      <c r="B145" s="6">
        <v>77.23</v>
      </c>
      <c r="C145" s="6">
        <v>81.5</v>
      </c>
      <c r="D145" s="6">
        <v>74.930000000000007</v>
      </c>
      <c r="E145" s="6">
        <v>78.319999999999993</v>
      </c>
      <c r="F145" s="6">
        <v>76.650000000000006</v>
      </c>
      <c r="G145" s="7">
        <v>298858000</v>
      </c>
    </row>
    <row r="146" spans="1:7" ht="18" x14ac:dyDescent="0.2">
      <c r="A146" s="5">
        <v>45658</v>
      </c>
      <c r="B146" s="6">
        <v>70.48</v>
      </c>
      <c r="C146" s="6">
        <v>79.290000000000006</v>
      </c>
      <c r="D146" s="6">
        <v>69.34</v>
      </c>
      <c r="E146" s="6">
        <v>78.8</v>
      </c>
      <c r="F146" s="6">
        <v>77.12</v>
      </c>
      <c r="G146" s="7">
        <v>300692400</v>
      </c>
    </row>
    <row r="147" spans="1:7" ht="18" x14ac:dyDescent="0.2">
      <c r="A147" s="5">
        <v>45627</v>
      </c>
      <c r="B147" s="6">
        <v>76.95</v>
      </c>
      <c r="C147" s="6">
        <v>76.95</v>
      </c>
      <c r="D147" s="6">
        <v>68.61</v>
      </c>
      <c r="E147" s="6">
        <v>70.239999999999995</v>
      </c>
      <c r="F147" s="6">
        <v>68.75</v>
      </c>
      <c r="G147" s="7">
        <v>322967900</v>
      </c>
    </row>
    <row r="148" spans="1:7" ht="18" x14ac:dyDescent="0.2">
      <c r="A148" s="5">
        <v>45597</v>
      </c>
      <c r="B148" s="6">
        <v>65.22</v>
      </c>
      <c r="C148" s="6">
        <v>78.13</v>
      </c>
      <c r="D148" s="6">
        <v>63.05</v>
      </c>
      <c r="E148" s="6">
        <v>76.17</v>
      </c>
      <c r="F148" s="6">
        <v>74.12</v>
      </c>
      <c r="G148" s="7">
        <v>382978600</v>
      </c>
    </row>
    <row r="149" spans="1:7" ht="18" x14ac:dyDescent="0.2">
      <c r="A149" s="5">
        <v>45566</v>
      </c>
      <c r="B149" s="6">
        <v>56</v>
      </c>
      <c r="C149" s="6">
        <v>66.400000000000006</v>
      </c>
      <c r="D149" s="6">
        <v>54.41</v>
      </c>
      <c r="E149" s="6">
        <v>64.92</v>
      </c>
      <c r="F149" s="6">
        <v>63.18</v>
      </c>
      <c r="G149" s="7">
        <v>387173600</v>
      </c>
    </row>
    <row r="150" spans="1:7" ht="18" x14ac:dyDescent="0.2">
      <c r="A150" s="5">
        <v>45536</v>
      </c>
      <c r="B150" s="6">
        <v>58.62</v>
      </c>
      <c r="C150" s="6">
        <v>59</v>
      </c>
      <c r="D150" s="6">
        <v>50.22</v>
      </c>
      <c r="E150" s="6">
        <v>56.49</v>
      </c>
      <c r="F150" s="6">
        <v>54.97</v>
      </c>
      <c r="G150" s="7">
        <v>420231200</v>
      </c>
    </row>
    <row r="151" spans="1:7" ht="18" x14ac:dyDescent="0.2">
      <c r="A151" s="5">
        <v>45505</v>
      </c>
      <c r="B151" s="6">
        <v>59.26</v>
      </c>
      <c r="C151" s="6">
        <v>59.34</v>
      </c>
      <c r="D151" s="6">
        <v>50.15</v>
      </c>
      <c r="E151" s="6">
        <v>58.47</v>
      </c>
      <c r="F151" s="6">
        <v>56.47</v>
      </c>
      <c r="G151" s="7">
        <v>348723100</v>
      </c>
    </row>
    <row r="152" spans="1:7" ht="18" x14ac:dyDescent="0.2">
      <c r="A152" s="5">
        <v>45474</v>
      </c>
      <c r="B152" s="6">
        <v>59.61</v>
      </c>
      <c r="C152" s="6">
        <v>61.18</v>
      </c>
      <c r="D152" s="6">
        <v>55.6</v>
      </c>
      <c r="E152" s="6">
        <v>59.34</v>
      </c>
      <c r="F152" s="6">
        <v>57.31</v>
      </c>
      <c r="G152" s="7">
        <v>343211000</v>
      </c>
    </row>
    <row r="153" spans="1:7" ht="18" x14ac:dyDescent="0.2">
      <c r="A153" s="5">
        <v>45444</v>
      </c>
      <c r="B153" s="6">
        <v>60.2</v>
      </c>
      <c r="C153" s="6">
        <v>60.2</v>
      </c>
      <c r="D153" s="6">
        <v>56.33</v>
      </c>
      <c r="E153" s="6">
        <v>59.39</v>
      </c>
      <c r="F153" s="6">
        <v>57.36</v>
      </c>
      <c r="G153" s="7">
        <v>377118800</v>
      </c>
    </row>
    <row r="154" spans="1:7" ht="18" x14ac:dyDescent="0.2">
      <c r="A154" s="5">
        <v>45413</v>
      </c>
      <c r="B154" s="6">
        <v>59.58</v>
      </c>
      <c r="C154" s="6">
        <v>62.55</v>
      </c>
      <c r="D154" s="6">
        <v>58.42</v>
      </c>
      <c r="E154" s="6">
        <v>59.92</v>
      </c>
      <c r="F154" s="6">
        <v>57.54</v>
      </c>
      <c r="G154" s="7">
        <v>342804600</v>
      </c>
    </row>
    <row r="155" spans="1:7" ht="18" x14ac:dyDescent="0.2">
      <c r="A155" s="5">
        <v>45383</v>
      </c>
      <c r="B155" s="6">
        <v>57.88</v>
      </c>
      <c r="C155" s="6">
        <v>61.76</v>
      </c>
      <c r="D155" s="6">
        <v>55.34</v>
      </c>
      <c r="E155" s="6">
        <v>59.32</v>
      </c>
      <c r="F155" s="6">
        <v>56.96</v>
      </c>
      <c r="G155" s="7">
        <v>413690600</v>
      </c>
    </row>
    <row r="156" spans="1:7" ht="18" x14ac:dyDescent="0.2">
      <c r="A156" s="5">
        <v>45352</v>
      </c>
      <c r="B156" s="6">
        <v>55.4</v>
      </c>
      <c r="C156" s="6">
        <v>58.44</v>
      </c>
      <c r="D156" s="6">
        <v>54.73</v>
      </c>
      <c r="E156" s="6">
        <v>57.96</v>
      </c>
      <c r="F156" s="6">
        <v>55.65</v>
      </c>
      <c r="G156" s="7">
        <v>384218700</v>
      </c>
    </row>
    <row r="157" spans="1:7" ht="18" x14ac:dyDescent="0.2">
      <c r="A157" s="5">
        <v>45323</v>
      </c>
      <c r="B157" s="6">
        <v>49.82</v>
      </c>
      <c r="C157" s="6">
        <v>55.7</v>
      </c>
      <c r="D157" s="6">
        <v>47.45</v>
      </c>
      <c r="E157" s="6">
        <v>55.59</v>
      </c>
      <c r="F157" s="6">
        <v>53.01</v>
      </c>
      <c r="G157" s="7">
        <v>395337800</v>
      </c>
    </row>
    <row r="158" spans="1:7" ht="18" x14ac:dyDescent="0.2">
      <c r="A158" s="5">
        <v>45292</v>
      </c>
      <c r="B158" s="6">
        <v>49.05</v>
      </c>
      <c r="C158" s="6">
        <v>51.44</v>
      </c>
      <c r="D158" s="6">
        <v>46.12</v>
      </c>
      <c r="E158" s="6">
        <v>50.18</v>
      </c>
      <c r="F158" s="6">
        <v>47.85</v>
      </c>
      <c r="G158" s="7">
        <v>388441000</v>
      </c>
    </row>
    <row r="159" spans="1:7" ht="18" x14ac:dyDescent="0.2">
      <c r="A159" s="5">
        <v>45261</v>
      </c>
      <c r="B159" s="6">
        <v>44.51</v>
      </c>
      <c r="C159" s="6">
        <v>50.77</v>
      </c>
      <c r="D159" s="6">
        <v>44.38</v>
      </c>
      <c r="E159" s="6">
        <v>49.22</v>
      </c>
      <c r="F159" s="6">
        <v>46.93</v>
      </c>
      <c r="G159" s="7">
        <v>382836700</v>
      </c>
    </row>
    <row r="160" spans="1:7" ht="18" x14ac:dyDescent="0.2">
      <c r="A160" s="5">
        <v>45231</v>
      </c>
      <c r="B160" s="6">
        <v>39.96</v>
      </c>
      <c r="C160" s="6">
        <v>44.75</v>
      </c>
      <c r="D160" s="6">
        <v>39.28</v>
      </c>
      <c r="E160" s="6">
        <v>44.59</v>
      </c>
      <c r="F160" s="6">
        <v>42.14</v>
      </c>
      <c r="G160" s="7">
        <v>328148500</v>
      </c>
    </row>
    <row r="161" spans="1:7" ht="18" x14ac:dyDescent="0.2">
      <c r="A161" s="5">
        <v>45200</v>
      </c>
      <c r="B161" s="6">
        <v>40.700000000000003</v>
      </c>
      <c r="C161" s="6">
        <v>42.37</v>
      </c>
      <c r="D161" s="6">
        <v>38.39</v>
      </c>
      <c r="E161" s="6">
        <v>39.770000000000003</v>
      </c>
      <c r="F161" s="6">
        <v>37.590000000000003</v>
      </c>
      <c r="G161" s="7">
        <v>341744500</v>
      </c>
    </row>
    <row r="162" spans="1:7" ht="18" x14ac:dyDescent="0.2">
      <c r="A162" s="5">
        <v>45170</v>
      </c>
      <c r="B162" s="6">
        <v>41.55</v>
      </c>
      <c r="C162" s="6">
        <v>43.74</v>
      </c>
      <c r="D162" s="6">
        <v>40.299999999999997</v>
      </c>
      <c r="E162" s="6">
        <v>40.86</v>
      </c>
      <c r="F162" s="6">
        <v>38.619999999999997</v>
      </c>
      <c r="G162" s="7">
        <v>333548000</v>
      </c>
    </row>
    <row r="163" spans="1:7" ht="18" x14ac:dyDescent="0.2">
      <c r="A163" s="5">
        <v>45139</v>
      </c>
      <c r="B163" s="6">
        <v>46.01</v>
      </c>
      <c r="C163" s="6">
        <v>46.16</v>
      </c>
      <c r="D163" s="6">
        <v>40.770000000000003</v>
      </c>
      <c r="E163" s="6">
        <v>41.29</v>
      </c>
      <c r="F163" s="6">
        <v>38.72</v>
      </c>
      <c r="G163" s="7">
        <v>284173100</v>
      </c>
    </row>
    <row r="164" spans="1:7" ht="18" x14ac:dyDescent="0.2">
      <c r="A164" s="5">
        <v>45108</v>
      </c>
      <c r="B164" s="6">
        <v>42.88</v>
      </c>
      <c r="C164" s="6">
        <v>47.24</v>
      </c>
      <c r="D164" s="6">
        <v>42.07</v>
      </c>
      <c r="E164" s="6">
        <v>46.16</v>
      </c>
      <c r="F164" s="6">
        <v>43.29</v>
      </c>
      <c r="G164" s="7">
        <v>340830500</v>
      </c>
    </row>
    <row r="165" spans="1:7" ht="18" x14ac:dyDescent="0.2">
      <c r="A165" s="5">
        <v>45078</v>
      </c>
      <c r="B165" s="6">
        <v>40.21</v>
      </c>
      <c r="C165" s="6">
        <v>43.34</v>
      </c>
      <c r="D165" s="6">
        <v>39.68</v>
      </c>
      <c r="E165" s="6">
        <v>42.68</v>
      </c>
      <c r="F165" s="6">
        <v>40.020000000000003</v>
      </c>
      <c r="G165" s="7">
        <v>363195000</v>
      </c>
    </row>
    <row r="166" spans="1:7" ht="18" x14ac:dyDescent="0.2">
      <c r="A166" s="5">
        <v>45047</v>
      </c>
      <c r="B166" s="6">
        <v>40.49</v>
      </c>
      <c r="C166" s="6">
        <v>42.12</v>
      </c>
      <c r="D166" s="6">
        <v>36.4</v>
      </c>
      <c r="E166" s="6">
        <v>39.81</v>
      </c>
      <c r="F166" s="6">
        <v>37.04</v>
      </c>
      <c r="G166" s="7">
        <v>538516100</v>
      </c>
    </row>
    <row r="167" spans="1:7" ht="18" x14ac:dyDescent="0.2">
      <c r="A167" s="5">
        <v>45017</v>
      </c>
      <c r="B167" s="6">
        <v>37.520000000000003</v>
      </c>
      <c r="C167" s="6">
        <v>42.41</v>
      </c>
      <c r="D167" s="6">
        <v>36.270000000000003</v>
      </c>
      <c r="E167" s="6">
        <v>39.75</v>
      </c>
      <c r="F167" s="6">
        <v>36.99</v>
      </c>
      <c r="G167" s="7">
        <v>450940100</v>
      </c>
    </row>
    <row r="168" spans="1:7" ht="18" x14ac:dyDescent="0.2">
      <c r="A168" s="5">
        <v>44986</v>
      </c>
      <c r="B168" s="6">
        <v>46.5</v>
      </c>
      <c r="C168" s="6">
        <v>47.18</v>
      </c>
      <c r="D168" s="6">
        <v>35.25</v>
      </c>
      <c r="E168" s="6">
        <v>37.380000000000003</v>
      </c>
      <c r="F168" s="6">
        <v>34.78</v>
      </c>
      <c r="G168" s="7">
        <v>730423100</v>
      </c>
    </row>
    <row r="169" spans="1:7" ht="18" x14ac:dyDescent="0.2">
      <c r="A169" s="5">
        <v>44958</v>
      </c>
      <c r="B169" s="6">
        <v>46.66</v>
      </c>
      <c r="C169" s="6">
        <v>48.84</v>
      </c>
      <c r="D169" s="6">
        <v>45.69</v>
      </c>
      <c r="E169" s="6">
        <v>46.77</v>
      </c>
      <c r="F169" s="6">
        <v>43.24</v>
      </c>
      <c r="G169" s="7">
        <v>314575300</v>
      </c>
    </row>
    <row r="170" spans="1:7" ht="18" x14ac:dyDescent="0.2">
      <c r="A170" s="5">
        <v>44927</v>
      </c>
      <c r="B170" s="6">
        <v>41.61</v>
      </c>
      <c r="C170" s="6">
        <v>46.88</v>
      </c>
      <c r="D170" s="6">
        <v>40.46</v>
      </c>
      <c r="E170" s="6">
        <v>46.87</v>
      </c>
      <c r="F170" s="6">
        <v>43.34</v>
      </c>
      <c r="G170" s="7">
        <v>398335300</v>
      </c>
    </row>
    <row r="171" spans="1:7" ht="18" x14ac:dyDescent="0.2">
      <c r="A171" s="5">
        <v>44896</v>
      </c>
      <c r="B171" s="6">
        <v>47.93</v>
      </c>
      <c r="C171" s="6">
        <v>48.18</v>
      </c>
      <c r="D171" s="6">
        <v>40.020000000000003</v>
      </c>
      <c r="E171" s="6">
        <v>41.29</v>
      </c>
      <c r="F171" s="6">
        <v>38.18</v>
      </c>
      <c r="G171" s="7">
        <v>414604800</v>
      </c>
    </row>
    <row r="172" spans="1:7" ht="18" x14ac:dyDescent="0.2">
      <c r="A172" s="5">
        <v>44866</v>
      </c>
      <c r="B172" s="6">
        <v>46.58</v>
      </c>
      <c r="C172" s="6">
        <v>48.36</v>
      </c>
      <c r="D172" s="6">
        <v>45.41</v>
      </c>
      <c r="E172" s="6">
        <v>47.95</v>
      </c>
      <c r="F172" s="6">
        <v>44.05</v>
      </c>
      <c r="G172" s="7">
        <v>348895000</v>
      </c>
    </row>
    <row r="173" spans="1:7" ht="18" x14ac:dyDescent="0.2">
      <c r="A173" s="5">
        <v>44835</v>
      </c>
      <c r="B173" s="6">
        <v>41.29</v>
      </c>
      <c r="C173" s="6">
        <v>46.52</v>
      </c>
      <c r="D173" s="6">
        <v>39.75</v>
      </c>
      <c r="E173" s="6">
        <v>45.99</v>
      </c>
      <c r="F173" s="6">
        <v>42.25</v>
      </c>
      <c r="G173" s="7">
        <v>383039100</v>
      </c>
    </row>
    <row r="174" spans="1:7" ht="18" x14ac:dyDescent="0.2">
      <c r="A174" s="5">
        <v>44805</v>
      </c>
      <c r="B174" s="6">
        <v>43.66</v>
      </c>
      <c r="C174" s="6">
        <v>46.14</v>
      </c>
      <c r="D174" s="6">
        <v>39.340000000000003</v>
      </c>
      <c r="E174" s="6">
        <v>40.22</v>
      </c>
      <c r="F174" s="6">
        <v>36.950000000000003</v>
      </c>
      <c r="G174" s="7">
        <v>354330500</v>
      </c>
    </row>
    <row r="175" spans="1:7" ht="18" x14ac:dyDescent="0.2">
      <c r="A175" s="5">
        <v>44774</v>
      </c>
      <c r="B175" s="6">
        <v>43.44</v>
      </c>
      <c r="C175" s="6">
        <v>46.32</v>
      </c>
      <c r="D175" s="6">
        <v>42.53</v>
      </c>
      <c r="E175" s="6">
        <v>43.71</v>
      </c>
      <c r="F175" s="6">
        <v>39.880000000000003</v>
      </c>
      <c r="G175" s="7">
        <v>308752700</v>
      </c>
    </row>
    <row r="176" spans="1:7" ht="18" x14ac:dyDescent="0.2">
      <c r="A176" s="5">
        <v>44743</v>
      </c>
      <c r="B176" s="6">
        <v>38.72</v>
      </c>
      <c r="C176" s="6">
        <v>44.35</v>
      </c>
      <c r="D176" s="6">
        <v>37.43</v>
      </c>
      <c r="E176" s="6">
        <v>43.87</v>
      </c>
      <c r="F176" s="6">
        <v>40.03</v>
      </c>
      <c r="G176" s="7">
        <v>377913800</v>
      </c>
    </row>
    <row r="177" spans="1:7" ht="18" x14ac:dyDescent="0.2">
      <c r="A177" s="5">
        <v>44713</v>
      </c>
      <c r="B177" s="6">
        <v>45.96</v>
      </c>
      <c r="C177" s="6">
        <v>46.07</v>
      </c>
      <c r="D177" s="6">
        <v>36.54</v>
      </c>
      <c r="E177" s="6">
        <v>39.17</v>
      </c>
      <c r="F177" s="6">
        <v>35.74</v>
      </c>
      <c r="G177" s="7">
        <v>503139500</v>
      </c>
    </row>
    <row r="178" spans="1:7" ht="18" x14ac:dyDescent="0.2">
      <c r="A178" s="5">
        <v>44682</v>
      </c>
      <c r="B178" s="6">
        <v>43.87</v>
      </c>
      <c r="C178" s="6">
        <v>46.27</v>
      </c>
      <c r="D178" s="6">
        <v>40.74</v>
      </c>
      <c r="E178" s="6">
        <v>45.77</v>
      </c>
      <c r="F178" s="6">
        <v>41.53</v>
      </c>
      <c r="G178" s="7">
        <v>548344800</v>
      </c>
    </row>
    <row r="179" spans="1:7" ht="18" x14ac:dyDescent="0.2">
      <c r="A179" s="5">
        <v>44652</v>
      </c>
      <c r="B179" s="6">
        <v>49.25</v>
      </c>
      <c r="C179" s="6">
        <v>50.19</v>
      </c>
      <c r="D179" s="6">
        <v>43.51</v>
      </c>
      <c r="E179" s="6">
        <v>43.63</v>
      </c>
      <c r="F179" s="6">
        <v>39.590000000000003</v>
      </c>
      <c r="G179" s="7">
        <v>521880200</v>
      </c>
    </row>
    <row r="180" spans="1:7" ht="18" x14ac:dyDescent="0.2">
      <c r="A180" s="5">
        <v>44621</v>
      </c>
      <c r="B180" s="6">
        <v>52.44</v>
      </c>
      <c r="C180" s="6">
        <v>54.2</v>
      </c>
      <c r="D180" s="6">
        <v>45.77</v>
      </c>
      <c r="E180" s="6">
        <v>48.46</v>
      </c>
      <c r="F180" s="6">
        <v>43.97</v>
      </c>
      <c r="G180" s="7">
        <v>754688700</v>
      </c>
    </row>
    <row r="181" spans="1:7" ht="18" x14ac:dyDescent="0.2">
      <c r="A181" s="5">
        <v>44593</v>
      </c>
      <c r="B181" s="6">
        <v>54.72</v>
      </c>
      <c r="C181" s="6">
        <v>60.3</v>
      </c>
      <c r="D181" s="6">
        <v>50.68</v>
      </c>
      <c r="E181" s="6">
        <v>53.37</v>
      </c>
      <c r="F181" s="6">
        <v>48.21</v>
      </c>
      <c r="G181" s="7">
        <v>569263200</v>
      </c>
    </row>
    <row r="182" spans="1:7" ht="18" x14ac:dyDescent="0.2">
      <c r="A182" s="5">
        <v>44562</v>
      </c>
      <c r="B182" s="6">
        <v>48.93</v>
      </c>
      <c r="C182" s="6">
        <v>58.87</v>
      </c>
      <c r="D182" s="6">
        <v>48.92</v>
      </c>
      <c r="E182" s="6">
        <v>53.8</v>
      </c>
      <c r="F182" s="6">
        <v>48.6</v>
      </c>
      <c r="G182" s="7">
        <v>742893200</v>
      </c>
    </row>
    <row r="183" spans="1:7" ht="18" x14ac:dyDescent="0.2">
      <c r="A183" s="5">
        <v>44531</v>
      </c>
      <c r="B183" s="6">
        <v>48.69</v>
      </c>
      <c r="C183" s="6">
        <v>50.82</v>
      </c>
      <c r="D183" s="6">
        <v>46.25</v>
      </c>
      <c r="E183" s="6">
        <v>47.98</v>
      </c>
      <c r="F183" s="6">
        <v>43.34</v>
      </c>
      <c r="G183" s="7">
        <v>518911300</v>
      </c>
    </row>
    <row r="184" spans="1:7" ht="18" x14ac:dyDescent="0.2">
      <c r="A184" s="5">
        <v>44501</v>
      </c>
      <c r="B184" s="6">
        <v>51.56</v>
      </c>
      <c r="C184" s="6">
        <v>52.57</v>
      </c>
      <c r="D184" s="6">
        <v>47.32</v>
      </c>
      <c r="E184" s="6">
        <v>47.78</v>
      </c>
      <c r="F184" s="6">
        <v>43</v>
      </c>
      <c r="G184" s="7">
        <v>501550700</v>
      </c>
    </row>
    <row r="185" spans="1:7" ht="18" x14ac:dyDescent="0.2">
      <c r="A185" s="5">
        <v>44470</v>
      </c>
      <c r="B185" s="6">
        <v>46.55</v>
      </c>
      <c r="C185" s="6">
        <v>51.64</v>
      </c>
      <c r="D185" s="6">
        <v>44.83</v>
      </c>
      <c r="E185" s="6">
        <v>51.16</v>
      </c>
      <c r="F185" s="6">
        <v>46.04</v>
      </c>
      <c r="G185" s="7">
        <v>516094300</v>
      </c>
    </row>
    <row r="186" spans="1:7" ht="18" x14ac:dyDescent="0.2">
      <c r="A186" s="5">
        <v>44440</v>
      </c>
      <c r="B186" s="6">
        <v>45.7</v>
      </c>
      <c r="C186" s="6">
        <v>48.94</v>
      </c>
      <c r="D186" s="6">
        <v>43.27</v>
      </c>
      <c r="E186" s="6">
        <v>46.41</v>
      </c>
      <c r="F186" s="6">
        <v>41.76</v>
      </c>
      <c r="G186" s="7">
        <v>651312400</v>
      </c>
    </row>
    <row r="187" spans="1:7" ht="18" x14ac:dyDescent="0.2">
      <c r="A187" s="5">
        <v>44409</v>
      </c>
      <c r="B187" s="6">
        <v>46.04</v>
      </c>
      <c r="C187" s="6">
        <v>51.41</v>
      </c>
      <c r="D187" s="6">
        <v>45.11</v>
      </c>
      <c r="E187" s="6">
        <v>45.7</v>
      </c>
      <c r="F187" s="6">
        <v>40.950000000000003</v>
      </c>
      <c r="G187" s="7">
        <v>528672200</v>
      </c>
    </row>
    <row r="188" spans="1:7" ht="18" x14ac:dyDescent="0.2">
      <c r="A188" s="5">
        <v>44378</v>
      </c>
      <c r="B188" s="6">
        <v>45.48</v>
      </c>
      <c r="C188" s="6">
        <v>46.85</v>
      </c>
      <c r="D188" s="6">
        <v>41.97</v>
      </c>
      <c r="E188" s="6">
        <v>45.94</v>
      </c>
      <c r="F188" s="6">
        <v>41.16</v>
      </c>
      <c r="G188" s="7">
        <v>560767400</v>
      </c>
    </row>
    <row r="189" spans="1:7" ht="18" x14ac:dyDescent="0.2">
      <c r="A189" s="5">
        <v>44348</v>
      </c>
      <c r="B189" s="6">
        <v>47.16</v>
      </c>
      <c r="C189" s="6">
        <v>47.46</v>
      </c>
      <c r="D189" s="6">
        <v>41.47</v>
      </c>
      <c r="E189" s="6">
        <v>45.29</v>
      </c>
      <c r="F189" s="6">
        <v>40.58</v>
      </c>
      <c r="G189" s="7">
        <v>607672400</v>
      </c>
    </row>
    <row r="190" spans="1:7" ht="18" x14ac:dyDescent="0.2">
      <c r="A190" s="5">
        <v>44317</v>
      </c>
      <c r="B190" s="6">
        <v>45.45</v>
      </c>
      <c r="C190" s="6">
        <v>48.13</v>
      </c>
      <c r="D190" s="6">
        <v>44.67</v>
      </c>
      <c r="E190" s="6">
        <v>46.72</v>
      </c>
      <c r="F190" s="6">
        <v>41.77</v>
      </c>
      <c r="G190" s="7">
        <v>526684700</v>
      </c>
    </row>
    <row r="191" spans="1:7" ht="18" x14ac:dyDescent="0.2">
      <c r="A191" s="5">
        <v>44287</v>
      </c>
      <c r="B191" s="6">
        <v>38.96</v>
      </c>
      <c r="C191" s="6">
        <v>46.39</v>
      </c>
      <c r="D191" s="6">
        <v>38.92</v>
      </c>
      <c r="E191" s="6">
        <v>45.05</v>
      </c>
      <c r="F191" s="6">
        <v>40.28</v>
      </c>
      <c r="G191" s="7">
        <v>634499100</v>
      </c>
    </row>
    <row r="192" spans="1:7" ht="18" x14ac:dyDescent="0.2">
      <c r="A192" s="5">
        <v>44256</v>
      </c>
      <c r="B192" s="6">
        <v>37.11</v>
      </c>
      <c r="C192" s="6">
        <v>41.54</v>
      </c>
      <c r="D192" s="6">
        <v>36.340000000000003</v>
      </c>
      <c r="E192" s="6">
        <v>39.07</v>
      </c>
      <c r="F192" s="6">
        <v>34.93</v>
      </c>
      <c r="G192" s="7">
        <v>781557400</v>
      </c>
    </row>
    <row r="193" spans="1:7" ht="18" x14ac:dyDescent="0.2">
      <c r="A193" s="5">
        <v>44228</v>
      </c>
      <c r="B193" s="6">
        <v>30.14</v>
      </c>
      <c r="C193" s="6">
        <v>38.68</v>
      </c>
      <c r="D193" s="6">
        <v>29.68</v>
      </c>
      <c r="E193" s="6">
        <v>36.17</v>
      </c>
      <c r="F193" s="6">
        <v>32.24</v>
      </c>
      <c r="G193" s="7">
        <v>655506000</v>
      </c>
    </row>
    <row r="194" spans="1:7" ht="18" x14ac:dyDescent="0.2">
      <c r="A194" s="5">
        <v>44197</v>
      </c>
      <c r="B194" s="6">
        <v>30.32</v>
      </c>
      <c r="C194" s="6">
        <v>35.1</v>
      </c>
      <c r="D194" s="6">
        <v>29.4</v>
      </c>
      <c r="E194" s="6">
        <v>29.88</v>
      </c>
      <c r="F194" s="6">
        <v>26.63</v>
      </c>
      <c r="G194" s="7">
        <v>798079600</v>
      </c>
    </row>
    <row r="195" spans="1:7" ht="18" x14ac:dyDescent="0.2">
      <c r="A195" s="5">
        <v>44166</v>
      </c>
      <c r="B195" s="6">
        <v>28.15</v>
      </c>
      <c r="C195" s="6">
        <v>30.49</v>
      </c>
      <c r="D195" s="6">
        <v>27.85</v>
      </c>
      <c r="E195" s="6">
        <v>30.18</v>
      </c>
      <c r="F195" s="6">
        <v>26.9</v>
      </c>
      <c r="G195" s="7">
        <v>737667600</v>
      </c>
    </row>
    <row r="200" spans="1:7" x14ac:dyDescent="0.2">
      <c r="A200" s="4" t="s">
        <v>7</v>
      </c>
      <c r="B200" s="4" t="s">
        <v>8</v>
      </c>
      <c r="C200" s="4" t="s">
        <v>9</v>
      </c>
      <c r="D200" s="4" t="s">
        <v>10</v>
      </c>
      <c r="E200" s="4" t="s">
        <v>11</v>
      </c>
      <c r="F200" s="4" t="s">
        <v>12</v>
      </c>
      <c r="G200" s="4" t="s">
        <v>13</v>
      </c>
    </row>
    <row r="201" spans="1:7" ht="18" x14ac:dyDescent="0.2">
      <c r="A201" s="5">
        <v>45962</v>
      </c>
      <c r="B201" s="6">
        <v>41.43</v>
      </c>
      <c r="C201" s="6">
        <v>42.93</v>
      </c>
      <c r="D201" s="6">
        <v>40.950000000000003</v>
      </c>
      <c r="E201" s="6">
        <v>42.87</v>
      </c>
      <c r="F201" s="6">
        <v>42.87</v>
      </c>
      <c r="G201" s="7">
        <v>45482400</v>
      </c>
    </row>
    <row r="202" spans="1:7" ht="18" x14ac:dyDescent="0.2">
      <c r="A202" s="5">
        <v>45931</v>
      </c>
      <c r="B202" s="6">
        <v>44.37</v>
      </c>
      <c r="C202" s="6">
        <v>45.33</v>
      </c>
      <c r="D202" s="6">
        <v>40.049999999999997</v>
      </c>
      <c r="E202" s="6">
        <v>41.62</v>
      </c>
      <c r="F202" s="6">
        <v>41.62</v>
      </c>
      <c r="G202" s="7">
        <v>228214400</v>
      </c>
    </row>
    <row r="203" spans="1:7" ht="18" x14ac:dyDescent="0.2">
      <c r="A203" s="5">
        <v>45901</v>
      </c>
      <c r="B203" s="6">
        <v>45.18</v>
      </c>
      <c r="C203" s="6">
        <v>46.6</v>
      </c>
      <c r="D203" s="6">
        <v>43.76</v>
      </c>
      <c r="E203" s="6">
        <v>44.55</v>
      </c>
      <c r="F203" s="6">
        <v>44.16</v>
      </c>
      <c r="G203" s="7">
        <v>94544800</v>
      </c>
    </row>
    <row r="204" spans="1:7" ht="18" x14ac:dyDescent="0.2">
      <c r="A204" s="5">
        <v>45870</v>
      </c>
      <c r="B204" s="6">
        <v>40.98</v>
      </c>
      <c r="C204" s="6">
        <v>45.93</v>
      </c>
      <c r="D204" s="6">
        <v>40.22</v>
      </c>
      <c r="E204" s="6">
        <v>45.77</v>
      </c>
      <c r="F204" s="6">
        <v>45.37</v>
      </c>
      <c r="G204" s="7">
        <v>74650200</v>
      </c>
    </row>
    <row r="205" spans="1:7" ht="18" x14ac:dyDescent="0.2">
      <c r="A205" s="5">
        <v>45839</v>
      </c>
      <c r="B205" s="6">
        <v>40.799999999999997</v>
      </c>
      <c r="C205" s="6">
        <v>44.34</v>
      </c>
      <c r="D205" s="6">
        <v>40.630000000000003</v>
      </c>
      <c r="E205" s="6">
        <v>41.57</v>
      </c>
      <c r="F205" s="6">
        <v>41.2</v>
      </c>
      <c r="G205" s="7">
        <v>133485600</v>
      </c>
    </row>
    <row r="206" spans="1:7" ht="18" x14ac:dyDescent="0.2">
      <c r="A206" s="5">
        <v>45809</v>
      </c>
      <c r="B206" s="6">
        <v>38</v>
      </c>
      <c r="C206" s="6">
        <v>41.61</v>
      </c>
      <c r="D206" s="6">
        <v>37.28</v>
      </c>
      <c r="E206" s="6">
        <v>41.13</v>
      </c>
      <c r="F206" s="6">
        <v>40.4</v>
      </c>
      <c r="G206" s="7">
        <v>105427600</v>
      </c>
    </row>
    <row r="207" spans="1:7" ht="18" x14ac:dyDescent="0.2">
      <c r="A207" s="5">
        <v>45778</v>
      </c>
      <c r="B207" s="6">
        <v>35.85</v>
      </c>
      <c r="C207" s="6">
        <v>39.78</v>
      </c>
      <c r="D207" s="6">
        <v>35.549999999999997</v>
      </c>
      <c r="E207" s="6">
        <v>38.19</v>
      </c>
      <c r="F207" s="6">
        <v>37.520000000000003</v>
      </c>
      <c r="G207" s="7">
        <v>74985000</v>
      </c>
    </row>
    <row r="208" spans="1:7" ht="18" x14ac:dyDescent="0.2">
      <c r="A208" s="5">
        <v>45748</v>
      </c>
      <c r="B208" s="6">
        <v>38.869999999999997</v>
      </c>
      <c r="C208" s="6">
        <v>39.729999999999997</v>
      </c>
      <c r="D208" s="6">
        <v>32.25</v>
      </c>
      <c r="E208" s="6">
        <v>35.94</v>
      </c>
      <c r="F208" s="6">
        <v>35.31</v>
      </c>
      <c r="G208" s="7">
        <v>128608600</v>
      </c>
    </row>
    <row r="209" spans="1:7" ht="18" x14ac:dyDescent="0.2">
      <c r="A209" s="5">
        <v>45717</v>
      </c>
      <c r="B209" s="6">
        <v>43.7</v>
      </c>
      <c r="C209" s="6">
        <v>44.31</v>
      </c>
      <c r="D209" s="6">
        <v>37.450000000000003</v>
      </c>
      <c r="E209" s="6">
        <v>39.200000000000003</v>
      </c>
      <c r="F209" s="6">
        <v>38.14</v>
      </c>
      <c r="G209" s="7">
        <v>114104100</v>
      </c>
    </row>
    <row r="210" spans="1:7" ht="18" x14ac:dyDescent="0.2">
      <c r="A210" s="5">
        <v>45689</v>
      </c>
      <c r="B210" s="6">
        <v>43.48</v>
      </c>
      <c r="C210" s="6">
        <v>44.52</v>
      </c>
      <c r="D210" s="6">
        <v>42.67</v>
      </c>
      <c r="E210" s="6">
        <v>43.47</v>
      </c>
      <c r="F210" s="6">
        <v>42.3</v>
      </c>
      <c r="G210" s="7">
        <v>74041900</v>
      </c>
    </row>
    <row r="211" spans="1:7" ht="18" x14ac:dyDescent="0.2">
      <c r="A211" s="5">
        <v>45658</v>
      </c>
      <c r="B211" s="6">
        <v>42.57</v>
      </c>
      <c r="C211" s="6">
        <v>45.42</v>
      </c>
      <c r="D211" s="6">
        <v>40.92</v>
      </c>
      <c r="E211" s="6">
        <v>44.31</v>
      </c>
      <c r="F211" s="6">
        <v>43.11</v>
      </c>
      <c r="G211" s="7">
        <v>102678500</v>
      </c>
    </row>
    <row r="212" spans="1:7" ht="18" x14ac:dyDescent="0.2">
      <c r="A212" s="5">
        <v>45627</v>
      </c>
      <c r="B212" s="6">
        <v>47.99</v>
      </c>
      <c r="C212" s="6">
        <v>48.19</v>
      </c>
      <c r="D212" s="6">
        <v>41.92</v>
      </c>
      <c r="E212" s="6">
        <v>42.28</v>
      </c>
      <c r="F212" s="6">
        <v>40.78</v>
      </c>
      <c r="G212" s="7">
        <v>90373200</v>
      </c>
    </row>
    <row r="213" spans="1:7" ht="18" x14ac:dyDescent="0.2">
      <c r="A213" s="5">
        <v>45597</v>
      </c>
      <c r="B213" s="6">
        <v>43.66</v>
      </c>
      <c r="C213" s="6">
        <v>49.07</v>
      </c>
      <c r="D213" s="6">
        <v>42.6</v>
      </c>
      <c r="E213" s="6">
        <v>48.06</v>
      </c>
      <c r="F213" s="6">
        <v>46.36</v>
      </c>
      <c r="G213" s="7">
        <v>82437500</v>
      </c>
    </row>
    <row r="214" spans="1:7" ht="18" x14ac:dyDescent="0.2">
      <c r="A214" s="5">
        <v>45566</v>
      </c>
      <c r="B214" s="6">
        <v>42.75</v>
      </c>
      <c r="C214" s="6">
        <v>45.71</v>
      </c>
      <c r="D214" s="6">
        <v>41.38</v>
      </c>
      <c r="E214" s="6">
        <v>43.68</v>
      </c>
      <c r="F214" s="6">
        <v>42.13</v>
      </c>
      <c r="G214" s="7">
        <v>99187800</v>
      </c>
    </row>
    <row r="215" spans="1:7" ht="18" x14ac:dyDescent="0.2">
      <c r="A215" s="5">
        <v>45536</v>
      </c>
      <c r="B215" s="6">
        <v>42.51</v>
      </c>
      <c r="C215" s="6">
        <v>43.85</v>
      </c>
      <c r="D215" s="6">
        <v>39.56</v>
      </c>
      <c r="E215" s="6">
        <v>42.84</v>
      </c>
      <c r="F215" s="6">
        <v>40.97</v>
      </c>
      <c r="G215" s="7">
        <v>80894600</v>
      </c>
    </row>
    <row r="216" spans="1:7" ht="18" x14ac:dyDescent="0.2">
      <c r="A216" s="5">
        <v>45505</v>
      </c>
      <c r="B216" s="6">
        <v>42.28</v>
      </c>
      <c r="C216" s="6">
        <v>42.75</v>
      </c>
      <c r="D216" s="6">
        <v>37.67</v>
      </c>
      <c r="E216" s="6">
        <v>42.69</v>
      </c>
      <c r="F216" s="6">
        <v>40.82</v>
      </c>
      <c r="G216" s="7">
        <v>82538300</v>
      </c>
    </row>
    <row r="217" spans="1:7" ht="18" x14ac:dyDescent="0.2">
      <c r="A217" s="5">
        <v>45474</v>
      </c>
      <c r="B217" s="6">
        <v>36.49</v>
      </c>
      <c r="C217" s="6">
        <v>42.91</v>
      </c>
      <c r="D217" s="6">
        <v>35.17</v>
      </c>
      <c r="E217" s="6">
        <v>42.34</v>
      </c>
      <c r="F217" s="6">
        <v>40.49</v>
      </c>
      <c r="G217" s="7">
        <v>106460300</v>
      </c>
    </row>
    <row r="218" spans="1:7" ht="18" x14ac:dyDescent="0.2">
      <c r="A218" s="5">
        <v>45444</v>
      </c>
      <c r="B218" s="6">
        <v>37.79</v>
      </c>
      <c r="C218" s="6">
        <v>37.79</v>
      </c>
      <c r="D218" s="6">
        <v>34.78</v>
      </c>
      <c r="E218" s="6">
        <v>36.49</v>
      </c>
      <c r="F218" s="6">
        <v>34.549999999999997</v>
      </c>
      <c r="G218" s="7">
        <v>85123800</v>
      </c>
    </row>
    <row r="219" spans="1:7" ht="18" x14ac:dyDescent="0.2">
      <c r="A219" s="5">
        <v>45413</v>
      </c>
      <c r="B219" s="6">
        <v>36.83</v>
      </c>
      <c r="C219" s="6">
        <v>39.14</v>
      </c>
      <c r="D219" s="6">
        <v>35.65</v>
      </c>
      <c r="E219" s="6">
        <v>37.42</v>
      </c>
      <c r="F219" s="6">
        <v>35.43</v>
      </c>
      <c r="G219" s="7">
        <v>74779600</v>
      </c>
    </row>
    <row r="220" spans="1:7" ht="18" x14ac:dyDescent="0.2">
      <c r="A220" s="5">
        <v>45383</v>
      </c>
      <c r="B220" s="6">
        <v>36.97</v>
      </c>
      <c r="C220" s="6">
        <v>37.28</v>
      </c>
      <c r="D220" s="6">
        <v>33.82</v>
      </c>
      <c r="E220" s="6">
        <v>36.46</v>
      </c>
      <c r="F220" s="6">
        <v>34.520000000000003</v>
      </c>
      <c r="G220" s="7">
        <v>100573700</v>
      </c>
    </row>
    <row r="221" spans="1:7" ht="18" x14ac:dyDescent="0.2">
      <c r="A221" s="5">
        <v>45352</v>
      </c>
      <c r="B221" s="6">
        <v>34.08</v>
      </c>
      <c r="C221" s="6">
        <v>37.409999999999997</v>
      </c>
      <c r="D221" s="6">
        <v>33.479999999999997</v>
      </c>
      <c r="E221" s="6">
        <v>37.21</v>
      </c>
      <c r="F221" s="6">
        <v>34.89</v>
      </c>
      <c r="G221" s="7">
        <v>120656000</v>
      </c>
    </row>
    <row r="222" spans="1:7" ht="18" x14ac:dyDescent="0.2">
      <c r="A222" s="5">
        <v>45323</v>
      </c>
      <c r="B222" s="6">
        <v>34.299999999999997</v>
      </c>
      <c r="C222" s="6">
        <v>34.58</v>
      </c>
      <c r="D222" s="6">
        <v>32.29</v>
      </c>
      <c r="E222" s="6">
        <v>34.340000000000003</v>
      </c>
      <c r="F222" s="6">
        <v>32.200000000000003</v>
      </c>
      <c r="G222" s="7">
        <v>97873500</v>
      </c>
    </row>
    <row r="223" spans="1:7" ht="18" x14ac:dyDescent="0.2">
      <c r="A223" s="5">
        <v>45292</v>
      </c>
      <c r="B223" s="6">
        <v>34.299999999999997</v>
      </c>
      <c r="C223" s="6">
        <v>35.729999999999997</v>
      </c>
      <c r="D223" s="6">
        <v>32.840000000000003</v>
      </c>
      <c r="E223" s="6">
        <v>34.24</v>
      </c>
      <c r="F223" s="6">
        <v>32.11</v>
      </c>
      <c r="G223" s="7">
        <v>125164200</v>
      </c>
    </row>
    <row r="224" spans="1:7" ht="18" x14ac:dyDescent="0.2">
      <c r="A224" s="5">
        <v>45261</v>
      </c>
      <c r="B224" s="6">
        <v>28.95</v>
      </c>
      <c r="C224" s="6">
        <v>35.6</v>
      </c>
      <c r="D224" s="6">
        <v>28.77</v>
      </c>
      <c r="E224" s="6">
        <v>34.49</v>
      </c>
      <c r="F224" s="6">
        <v>32.020000000000003</v>
      </c>
      <c r="G224" s="7">
        <v>128030400</v>
      </c>
    </row>
    <row r="225" spans="1:7" ht="18" x14ac:dyDescent="0.2">
      <c r="A225" s="5">
        <v>45231</v>
      </c>
      <c r="B225" s="6">
        <v>23.65</v>
      </c>
      <c r="C225" s="6">
        <v>29.16</v>
      </c>
      <c r="D225" s="6">
        <v>23.37</v>
      </c>
      <c r="E225" s="6">
        <v>28.95</v>
      </c>
      <c r="F225" s="6">
        <v>26.88</v>
      </c>
      <c r="G225" s="7">
        <v>96451200</v>
      </c>
    </row>
    <row r="226" spans="1:7" ht="18" x14ac:dyDescent="0.2">
      <c r="A226" s="5">
        <v>45200</v>
      </c>
      <c r="B226" s="6">
        <v>25.36</v>
      </c>
      <c r="C226" s="6">
        <v>25.59</v>
      </c>
      <c r="D226" s="6">
        <v>22.49</v>
      </c>
      <c r="E226" s="6">
        <v>23.71</v>
      </c>
      <c r="F226" s="6">
        <v>22.01</v>
      </c>
      <c r="G226" s="7">
        <v>119364200</v>
      </c>
    </row>
    <row r="227" spans="1:7" ht="18" x14ac:dyDescent="0.2">
      <c r="A227" s="5">
        <v>45170</v>
      </c>
      <c r="B227" s="6">
        <v>26.77</v>
      </c>
      <c r="C227" s="6">
        <v>28.39</v>
      </c>
      <c r="D227" s="6">
        <v>24.52</v>
      </c>
      <c r="E227" s="6">
        <v>25.33</v>
      </c>
      <c r="F227" s="6">
        <v>23.18</v>
      </c>
      <c r="G227" s="7">
        <v>115119700</v>
      </c>
    </row>
    <row r="228" spans="1:7" ht="18" x14ac:dyDescent="0.2">
      <c r="A228" s="5">
        <v>45139</v>
      </c>
      <c r="B228" s="6">
        <v>29.01</v>
      </c>
      <c r="C228" s="6">
        <v>29.13</v>
      </c>
      <c r="D228" s="6">
        <v>24.69</v>
      </c>
      <c r="E228" s="6">
        <v>26.55</v>
      </c>
      <c r="F228" s="6">
        <v>24.3</v>
      </c>
      <c r="G228" s="7">
        <v>102625700</v>
      </c>
    </row>
    <row r="229" spans="1:7" ht="18" x14ac:dyDescent="0.2">
      <c r="A229" s="5">
        <v>45108</v>
      </c>
      <c r="B229" s="6">
        <v>26.39</v>
      </c>
      <c r="C229" s="6">
        <v>29.45</v>
      </c>
      <c r="D229" s="6">
        <v>25.57</v>
      </c>
      <c r="E229" s="6">
        <v>29.1</v>
      </c>
      <c r="F229" s="6">
        <v>26.63</v>
      </c>
      <c r="G229" s="7">
        <v>104739400</v>
      </c>
    </row>
    <row r="230" spans="1:7" ht="18" x14ac:dyDescent="0.2">
      <c r="A230" s="5">
        <v>45078</v>
      </c>
      <c r="B230" s="6">
        <v>24.46</v>
      </c>
      <c r="C230" s="6">
        <v>27.27</v>
      </c>
      <c r="D230" s="6">
        <v>24.02</v>
      </c>
      <c r="E230" s="6">
        <v>26.21</v>
      </c>
      <c r="F230" s="6">
        <v>23.69</v>
      </c>
      <c r="G230" s="7">
        <v>123316100</v>
      </c>
    </row>
    <row r="231" spans="1:7" ht="18" x14ac:dyDescent="0.2">
      <c r="A231" s="5">
        <v>45047</v>
      </c>
      <c r="B231" s="6">
        <v>26.15</v>
      </c>
      <c r="C231" s="6">
        <v>26.47</v>
      </c>
      <c r="D231" s="6">
        <v>22.46</v>
      </c>
      <c r="E231" s="6">
        <v>24.27</v>
      </c>
      <c r="F231" s="6">
        <v>21.94</v>
      </c>
      <c r="G231" s="7">
        <v>181730700</v>
      </c>
    </row>
    <row r="232" spans="1:7" ht="18" x14ac:dyDescent="0.2">
      <c r="A232" s="5">
        <v>45017</v>
      </c>
      <c r="B232" s="6">
        <v>26.94</v>
      </c>
      <c r="C232" s="6">
        <v>28.18</v>
      </c>
      <c r="D232" s="6">
        <v>24.98</v>
      </c>
      <c r="E232" s="6">
        <v>26.2</v>
      </c>
      <c r="F232" s="6">
        <v>23.68</v>
      </c>
      <c r="G232" s="7">
        <v>136959200</v>
      </c>
    </row>
    <row r="233" spans="1:7" ht="18" x14ac:dyDescent="0.2">
      <c r="A233" s="5">
        <v>44986</v>
      </c>
      <c r="B233" s="6">
        <v>36.200000000000003</v>
      </c>
      <c r="C233" s="6">
        <v>36.67</v>
      </c>
      <c r="D233" s="6">
        <v>22.11</v>
      </c>
      <c r="E233" s="6">
        <v>26.64</v>
      </c>
      <c r="F233" s="6">
        <v>23.78</v>
      </c>
      <c r="G233" s="7">
        <v>356280200</v>
      </c>
    </row>
    <row r="234" spans="1:7" ht="18" x14ac:dyDescent="0.2">
      <c r="A234" s="5">
        <v>44958</v>
      </c>
      <c r="B234" s="6">
        <v>35.799999999999997</v>
      </c>
      <c r="C234" s="6">
        <v>38.06</v>
      </c>
      <c r="D234" s="6">
        <v>35.51</v>
      </c>
      <c r="E234" s="6">
        <v>36.299999999999997</v>
      </c>
      <c r="F234" s="6">
        <v>32.409999999999997</v>
      </c>
      <c r="G234" s="7">
        <v>80812700</v>
      </c>
    </row>
    <row r="235" spans="1:7" ht="18" x14ac:dyDescent="0.2">
      <c r="A235" s="5">
        <v>44927</v>
      </c>
      <c r="B235" s="6">
        <v>33.19</v>
      </c>
      <c r="C235" s="6">
        <v>36.32</v>
      </c>
      <c r="D235" s="6">
        <v>31.84</v>
      </c>
      <c r="E235" s="6">
        <v>36.29</v>
      </c>
      <c r="F235" s="6">
        <v>32.4</v>
      </c>
      <c r="G235" s="7">
        <v>116715500</v>
      </c>
    </row>
    <row r="236" spans="1:7" ht="18" x14ac:dyDescent="0.2">
      <c r="A236" s="5">
        <v>44896</v>
      </c>
      <c r="B236" s="6">
        <v>36.36</v>
      </c>
      <c r="C236" s="6">
        <v>36.520000000000003</v>
      </c>
      <c r="D236" s="6">
        <v>31.27</v>
      </c>
      <c r="E236" s="6">
        <v>32.81</v>
      </c>
      <c r="F236" s="6">
        <v>29</v>
      </c>
      <c r="G236" s="7">
        <v>105090900</v>
      </c>
    </row>
    <row r="237" spans="1:7" ht="18" x14ac:dyDescent="0.2">
      <c r="A237" s="5">
        <v>44866</v>
      </c>
      <c r="B237" s="6">
        <v>35.93</v>
      </c>
      <c r="C237" s="6">
        <v>37.200000000000003</v>
      </c>
      <c r="D237" s="6">
        <v>33.450000000000003</v>
      </c>
      <c r="E237" s="6">
        <v>36.36</v>
      </c>
      <c r="F237" s="6">
        <v>32.130000000000003</v>
      </c>
      <c r="G237" s="7">
        <v>85760400</v>
      </c>
    </row>
    <row r="238" spans="1:7" ht="18" x14ac:dyDescent="0.2">
      <c r="A238" s="5">
        <v>44835</v>
      </c>
      <c r="B238" s="6">
        <v>32.5</v>
      </c>
      <c r="C238" s="6">
        <v>36.17</v>
      </c>
      <c r="D238" s="6">
        <v>30.92</v>
      </c>
      <c r="E238" s="6">
        <v>35.69</v>
      </c>
      <c r="F238" s="6">
        <v>31.54</v>
      </c>
      <c r="G238" s="7">
        <v>109278500</v>
      </c>
    </row>
    <row r="239" spans="1:7" ht="18" x14ac:dyDescent="0.2">
      <c r="A239" s="5">
        <v>44805</v>
      </c>
      <c r="B239" s="6">
        <v>34.1</v>
      </c>
      <c r="C239" s="6">
        <v>36.6</v>
      </c>
      <c r="D239" s="6">
        <v>31.18</v>
      </c>
      <c r="E239" s="6">
        <v>31.96</v>
      </c>
      <c r="F239" s="6">
        <v>27.96</v>
      </c>
      <c r="G239" s="7">
        <v>93587000</v>
      </c>
    </row>
    <row r="240" spans="1:7" ht="18" x14ac:dyDescent="0.2">
      <c r="A240" s="5">
        <v>44774</v>
      </c>
      <c r="B240" s="6">
        <v>33.86</v>
      </c>
      <c r="C240" s="6">
        <v>37.86</v>
      </c>
      <c r="D240" s="6">
        <v>33.409999999999997</v>
      </c>
      <c r="E240" s="6">
        <v>34.15</v>
      </c>
      <c r="F240" s="6">
        <v>29.87</v>
      </c>
      <c r="G240" s="7">
        <v>76916300</v>
      </c>
    </row>
    <row r="241" spans="1:7" ht="18" x14ac:dyDescent="0.2">
      <c r="A241" s="5">
        <v>44743</v>
      </c>
      <c r="B241" s="6">
        <v>33.5</v>
      </c>
      <c r="C241" s="6">
        <v>34.97</v>
      </c>
      <c r="D241" s="6">
        <v>31.8</v>
      </c>
      <c r="E241" s="6">
        <v>34.119999999999997</v>
      </c>
      <c r="F241" s="6">
        <v>29.85</v>
      </c>
      <c r="G241" s="7">
        <v>101581000</v>
      </c>
    </row>
    <row r="242" spans="1:7" ht="18" x14ac:dyDescent="0.2">
      <c r="A242" s="5">
        <v>44713</v>
      </c>
      <c r="B242" s="6">
        <v>39.630000000000003</v>
      </c>
      <c r="C242" s="6">
        <v>40.07</v>
      </c>
      <c r="D242" s="6">
        <v>32.549999999999997</v>
      </c>
      <c r="E242" s="6">
        <v>33.6</v>
      </c>
      <c r="F242" s="6">
        <v>29.14</v>
      </c>
      <c r="G242" s="7">
        <v>98111700</v>
      </c>
    </row>
    <row r="243" spans="1:7" ht="18" x14ac:dyDescent="0.2">
      <c r="A243" s="5">
        <v>44682</v>
      </c>
      <c r="B243" s="6">
        <v>37.82</v>
      </c>
      <c r="C243" s="6">
        <v>39.68</v>
      </c>
      <c r="D243" s="6">
        <v>34.75</v>
      </c>
      <c r="E243" s="6">
        <v>39.43</v>
      </c>
      <c r="F243" s="6">
        <v>34.200000000000003</v>
      </c>
      <c r="G243" s="7">
        <v>118522300</v>
      </c>
    </row>
    <row r="244" spans="1:7" ht="18" x14ac:dyDescent="0.2">
      <c r="A244" s="5">
        <v>44652</v>
      </c>
      <c r="B244" s="6">
        <v>43.69</v>
      </c>
      <c r="C244" s="6">
        <v>43.82</v>
      </c>
      <c r="D244" s="6">
        <v>37.44</v>
      </c>
      <c r="E244" s="6">
        <v>37.53</v>
      </c>
      <c r="F244" s="6">
        <v>32.549999999999997</v>
      </c>
      <c r="G244" s="7">
        <v>132543700</v>
      </c>
    </row>
    <row r="245" spans="1:7" ht="18" x14ac:dyDescent="0.2">
      <c r="A245" s="5">
        <v>44621</v>
      </c>
      <c r="B245" s="6">
        <v>47.3</v>
      </c>
      <c r="C245" s="6">
        <v>48.03</v>
      </c>
      <c r="D245" s="6">
        <v>41.55</v>
      </c>
      <c r="E245" s="6">
        <v>43.04</v>
      </c>
      <c r="F245" s="6">
        <v>37.090000000000003</v>
      </c>
      <c r="G245" s="7">
        <v>161085900</v>
      </c>
    </row>
    <row r="246" spans="1:7" ht="18" x14ac:dyDescent="0.2">
      <c r="A246" s="5">
        <v>44593</v>
      </c>
      <c r="B246" s="6">
        <v>44.55</v>
      </c>
      <c r="C246" s="6">
        <v>50.13</v>
      </c>
      <c r="D246" s="6">
        <v>44.08</v>
      </c>
      <c r="E246" s="6">
        <v>47.84</v>
      </c>
      <c r="F246" s="6">
        <v>41.22</v>
      </c>
      <c r="G246" s="7">
        <v>118806000</v>
      </c>
    </row>
    <row r="247" spans="1:7" ht="18" x14ac:dyDescent="0.2">
      <c r="A247" s="5">
        <v>44562</v>
      </c>
      <c r="B247" s="6">
        <v>43.99</v>
      </c>
      <c r="C247" s="6">
        <v>50.64</v>
      </c>
      <c r="D247" s="6">
        <v>43.23</v>
      </c>
      <c r="E247" s="6">
        <v>44.63</v>
      </c>
      <c r="F247" s="6">
        <v>38.46</v>
      </c>
      <c r="G247" s="7">
        <v>126037900</v>
      </c>
    </row>
    <row r="248" spans="1:7" ht="18" x14ac:dyDescent="0.2">
      <c r="A248" s="5">
        <v>44531</v>
      </c>
      <c r="B248" s="6">
        <v>43.25</v>
      </c>
      <c r="C248" s="6">
        <v>44.89</v>
      </c>
      <c r="D248" s="6">
        <v>40.369999999999997</v>
      </c>
      <c r="E248" s="6">
        <v>43.55</v>
      </c>
      <c r="F248" s="6">
        <v>37.270000000000003</v>
      </c>
      <c r="G248" s="7">
        <v>101778400</v>
      </c>
    </row>
    <row r="249" spans="1:7" ht="18" x14ac:dyDescent="0.2">
      <c r="A249" s="5">
        <v>44501</v>
      </c>
      <c r="B249" s="6">
        <v>43.93</v>
      </c>
      <c r="C249" s="6">
        <v>45.27</v>
      </c>
      <c r="D249" s="6">
        <v>41.5</v>
      </c>
      <c r="E249" s="6">
        <v>42.15</v>
      </c>
      <c r="F249" s="6">
        <v>36.07</v>
      </c>
      <c r="G249" s="7">
        <v>85542300</v>
      </c>
    </row>
    <row r="250" spans="1:7" ht="18" x14ac:dyDescent="0.2">
      <c r="A250" s="5">
        <v>44470</v>
      </c>
      <c r="B250" s="6">
        <v>42.62</v>
      </c>
      <c r="C250" s="6">
        <v>45.92</v>
      </c>
      <c r="D250" s="6">
        <v>41.92</v>
      </c>
      <c r="E250" s="6">
        <v>43.53</v>
      </c>
      <c r="F250" s="6">
        <v>37.25</v>
      </c>
      <c r="G250" s="7">
        <v>79505500</v>
      </c>
    </row>
    <row r="251" spans="1:7" ht="18" x14ac:dyDescent="0.2">
      <c r="A251" s="5">
        <v>44440</v>
      </c>
      <c r="B251" s="6">
        <v>39.01</v>
      </c>
      <c r="C251" s="6">
        <v>44.18</v>
      </c>
      <c r="D251" s="6">
        <v>37.86</v>
      </c>
      <c r="E251" s="6">
        <v>42.44</v>
      </c>
      <c r="F251" s="6">
        <v>36.07</v>
      </c>
      <c r="G251" s="7">
        <v>122273500</v>
      </c>
    </row>
    <row r="252" spans="1:7" ht="18" x14ac:dyDescent="0.2">
      <c r="A252" s="5">
        <v>44409</v>
      </c>
      <c r="B252" s="6">
        <v>36.630000000000003</v>
      </c>
      <c r="C252" s="6">
        <v>39.659999999999997</v>
      </c>
      <c r="D252" s="6">
        <v>35.49</v>
      </c>
      <c r="E252" s="6">
        <v>38.86</v>
      </c>
      <c r="F252" s="6">
        <v>33.03</v>
      </c>
      <c r="G252" s="7">
        <v>98377100</v>
      </c>
    </row>
    <row r="253" spans="1:7" ht="18" x14ac:dyDescent="0.2">
      <c r="A253" s="5">
        <v>44378</v>
      </c>
      <c r="B253" s="6">
        <v>38.5</v>
      </c>
      <c r="C253" s="6">
        <v>38.869999999999997</v>
      </c>
      <c r="D253" s="6">
        <v>34.35</v>
      </c>
      <c r="E253" s="6">
        <v>36.29</v>
      </c>
      <c r="F253" s="6">
        <v>30.84</v>
      </c>
      <c r="G253" s="7">
        <v>101521700</v>
      </c>
    </row>
    <row r="254" spans="1:7" ht="18" x14ac:dyDescent="0.2">
      <c r="A254" s="5">
        <v>44348</v>
      </c>
      <c r="B254" s="6">
        <v>42.43</v>
      </c>
      <c r="C254" s="6">
        <v>42.77</v>
      </c>
      <c r="D254" s="6">
        <v>36.700000000000003</v>
      </c>
      <c r="E254" s="6">
        <v>38.229999999999997</v>
      </c>
      <c r="F254" s="6">
        <v>32.26</v>
      </c>
      <c r="G254" s="7">
        <v>107231300</v>
      </c>
    </row>
    <row r="255" spans="1:7" ht="18" x14ac:dyDescent="0.2">
      <c r="A255" s="5">
        <v>44317</v>
      </c>
      <c r="B255" s="6">
        <v>40.99</v>
      </c>
      <c r="C255" s="6">
        <v>43.06</v>
      </c>
      <c r="D255" s="6">
        <v>40.01</v>
      </c>
      <c r="E255" s="6">
        <v>42.14</v>
      </c>
      <c r="F255" s="6">
        <v>35.56</v>
      </c>
      <c r="G255" s="7">
        <v>95703200</v>
      </c>
    </row>
    <row r="256" spans="1:7" ht="18" x14ac:dyDescent="0.2">
      <c r="A256" s="5">
        <v>44287</v>
      </c>
      <c r="B256" s="6">
        <v>37.4</v>
      </c>
      <c r="C256" s="6">
        <v>40.96</v>
      </c>
      <c r="D256" s="6">
        <v>35.880000000000003</v>
      </c>
      <c r="E256" s="6">
        <v>40.54</v>
      </c>
      <c r="F256" s="6">
        <v>34.21</v>
      </c>
      <c r="G256" s="7">
        <v>107603500</v>
      </c>
    </row>
    <row r="257" spans="1:7" ht="18" x14ac:dyDescent="0.2">
      <c r="A257" s="5">
        <v>44256</v>
      </c>
      <c r="B257" s="6">
        <v>35.36</v>
      </c>
      <c r="C257" s="6">
        <v>40.46</v>
      </c>
      <c r="D257" s="6">
        <v>34.53</v>
      </c>
      <c r="E257" s="6">
        <v>37.450000000000003</v>
      </c>
      <c r="F257" s="6">
        <v>31.38</v>
      </c>
      <c r="G257" s="7">
        <v>191621500</v>
      </c>
    </row>
    <row r="258" spans="1:7" ht="18" x14ac:dyDescent="0.2">
      <c r="A258" s="5">
        <v>44228</v>
      </c>
      <c r="B258" s="6">
        <v>29.05</v>
      </c>
      <c r="C258" s="6">
        <v>36.85</v>
      </c>
      <c r="D258" s="6">
        <v>28.94</v>
      </c>
      <c r="E258" s="6">
        <v>34.69</v>
      </c>
      <c r="F258" s="6">
        <v>29.06</v>
      </c>
      <c r="G258" s="7">
        <v>100091100</v>
      </c>
    </row>
    <row r="259" spans="1:7" ht="18" x14ac:dyDescent="0.2">
      <c r="A259" s="5">
        <v>44197</v>
      </c>
      <c r="B259" s="6">
        <v>27.76</v>
      </c>
      <c r="C259" s="6">
        <v>32.82</v>
      </c>
      <c r="D259" s="6">
        <v>26.83</v>
      </c>
      <c r="E259" s="6">
        <v>28.93</v>
      </c>
      <c r="F259" s="6">
        <v>24.24</v>
      </c>
      <c r="G259" s="7">
        <v>100981800</v>
      </c>
    </row>
    <row r="260" spans="1:7" ht="18" x14ac:dyDescent="0.2">
      <c r="A260" s="5">
        <v>44166</v>
      </c>
      <c r="B260" s="6">
        <v>25.9</v>
      </c>
      <c r="C260" s="6">
        <v>28.11</v>
      </c>
      <c r="D260" s="6">
        <v>25.79</v>
      </c>
      <c r="E260" s="6">
        <v>27.57</v>
      </c>
      <c r="F260" s="6">
        <v>22.87</v>
      </c>
      <c r="G260" s="7">
        <v>100328800</v>
      </c>
    </row>
    <row r="265" spans="1:7" x14ac:dyDescent="0.2">
      <c r="A265" s="4" t="s">
        <v>7</v>
      </c>
      <c r="B265" s="4" t="s">
        <v>8</v>
      </c>
      <c r="C265" s="4" t="s">
        <v>9</v>
      </c>
      <c r="D265" s="4" t="s">
        <v>10</v>
      </c>
      <c r="E265" s="4" t="s">
        <v>11</v>
      </c>
      <c r="F265" s="4" t="s">
        <v>12</v>
      </c>
      <c r="G265" s="4" t="s">
        <v>13</v>
      </c>
    </row>
    <row r="266" spans="1:7" ht="18" x14ac:dyDescent="0.2">
      <c r="A266" s="5">
        <v>45962</v>
      </c>
      <c r="B266" s="6">
        <v>75.930000000000007</v>
      </c>
      <c r="C266" s="6">
        <v>79.03</v>
      </c>
      <c r="D266" s="6">
        <v>75.239999999999995</v>
      </c>
      <c r="E266" s="6">
        <v>78.89</v>
      </c>
      <c r="F266" s="6">
        <v>78.89</v>
      </c>
      <c r="G266" s="7">
        <v>6705100</v>
      </c>
    </row>
    <row r="267" spans="1:7" ht="18" x14ac:dyDescent="0.2">
      <c r="A267" s="5">
        <v>45931</v>
      </c>
      <c r="B267" s="6">
        <v>67.989999999999995</v>
      </c>
      <c r="C267" s="6">
        <v>83.22</v>
      </c>
      <c r="D267" s="6">
        <v>67.67</v>
      </c>
      <c r="E267" s="6">
        <v>76.5</v>
      </c>
      <c r="F267" s="6">
        <v>76.5</v>
      </c>
      <c r="G267" s="7">
        <v>86589400</v>
      </c>
    </row>
    <row r="268" spans="1:7" ht="18" x14ac:dyDescent="0.2">
      <c r="A268" s="5">
        <v>45901</v>
      </c>
      <c r="B268" s="6">
        <v>69.540000000000006</v>
      </c>
      <c r="C268" s="6">
        <v>71.27</v>
      </c>
      <c r="D268" s="6">
        <v>66.849999999999994</v>
      </c>
      <c r="E268" s="6">
        <v>68.52</v>
      </c>
      <c r="F268" s="6">
        <v>67.83</v>
      </c>
      <c r="G268" s="7">
        <v>32764600</v>
      </c>
    </row>
    <row r="269" spans="1:7" ht="18" x14ac:dyDescent="0.2">
      <c r="A269" s="5">
        <v>45870</v>
      </c>
      <c r="B269" s="6">
        <v>66.53</v>
      </c>
      <c r="C269" s="6">
        <v>71.72</v>
      </c>
      <c r="D269" s="6">
        <v>64.81</v>
      </c>
      <c r="E269" s="6">
        <v>70.58</v>
      </c>
      <c r="F269" s="6">
        <v>69.87</v>
      </c>
      <c r="G269" s="7">
        <v>35660400</v>
      </c>
    </row>
    <row r="270" spans="1:7" ht="18" x14ac:dyDescent="0.2">
      <c r="A270" s="5">
        <v>45839</v>
      </c>
      <c r="B270" s="6">
        <v>59.44</v>
      </c>
      <c r="C270" s="6">
        <v>70.150000000000006</v>
      </c>
      <c r="D270" s="6">
        <v>59.44</v>
      </c>
      <c r="E270" s="6">
        <v>67.569999999999993</v>
      </c>
      <c r="F270" s="6">
        <v>66.89</v>
      </c>
      <c r="G270" s="7">
        <v>62626400</v>
      </c>
    </row>
    <row r="271" spans="1:7" ht="18" x14ac:dyDescent="0.2">
      <c r="A271" s="5">
        <v>45809</v>
      </c>
      <c r="B271" s="6">
        <v>56.91</v>
      </c>
      <c r="C271" s="6">
        <v>60.03</v>
      </c>
      <c r="D271" s="6">
        <v>54.72</v>
      </c>
      <c r="E271" s="6">
        <v>59.65</v>
      </c>
      <c r="F271" s="6">
        <v>58.32</v>
      </c>
      <c r="G271" s="7">
        <v>26212400</v>
      </c>
    </row>
    <row r="272" spans="1:7" ht="18" x14ac:dyDescent="0.2">
      <c r="A272" s="5">
        <v>45778</v>
      </c>
      <c r="B272" s="6">
        <v>53.93</v>
      </c>
      <c r="C272" s="6">
        <v>59.36</v>
      </c>
      <c r="D272" s="6">
        <v>53.18</v>
      </c>
      <c r="E272" s="6">
        <v>57.09</v>
      </c>
      <c r="F272" s="6">
        <v>55.82</v>
      </c>
      <c r="G272" s="7">
        <v>28323600</v>
      </c>
    </row>
    <row r="273" spans="1:7" ht="18" x14ac:dyDescent="0.2">
      <c r="A273" s="5">
        <v>45748</v>
      </c>
      <c r="B273" s="6">
        <v>58.5</v>
      </c>
      <c r="C273" s="6">
        <v>59.35</v>
      </c>
      <c r="D273" s="6">
        <v>48.12</v>
      </c>
      <c r="E273" s="6">
        <v>53.75</v>
      </c>
      <c r="F273" s="6">
        <v>52.55</v>
      </c>
      <c r="G273" s="7">
        <v>48862400</v>
      </c>
    </row>
    <row r="274" spans="1:7" ht="18" x14ac:dyDescent="0.2">
      <c r="A274" s="5">
        <v>45717</v>
      </c>
      <c r="B274" s="6">
        <v>64.5</v>
      </c>
      <c r="C274" s="6">
        <v>65.349999999999994</v>
      </c>
      <c r="D274" s="6">
        <v>55.41</v>
      </c>
      <c r="E274" s="6">
        <v>59.06</v>
      </c>
      <c r="F274" s="6">
        <v>57.02</v>
      </c>
      <c r="G274" s="7">
        <v>44966800</v>
      </c>
    </row>
    <row r="275" spans="1:7" ht="18" x14ac:dyDescent="0.2">
      <c r="A275" s="5">
        <v>45689</v>
      </c>
      <c r="B275" s="6">
        <v>65.33</v>
      </c>
      <c r="C275" s="6">
        <v>68.94</v>
      </c>
      <c r="D275" s="6">
        <v>62.94</v>
      </c>
      <c r="E275" s="6">
        <v>64.33</v>
      </c>
      <c r="F275" s="6">
        <v>62.11</v>
      </c>
      <c r="G275" s="7">
        <v>37262500</v>
      </c>
    </row>
    <row r="276" spans="1:7" ht="18" x14ac:dyDescent="0.2">
      <c r="A276" s="5">
        <v>45658</v>
      </c>
      <c r="B276" s="6">
        <v>62.24</v>
      </c>
      <c r="C276" s="6">
        <v>68.510000000000005</v>
      </c>
      <c r="D276" s="6">
        <v>59.74</v>
      </c>
      <c r="E276" s="6">
        <v>67.319999999999993</v>
      </c>
      <c r="F276" s="6">
        <v>65</v>
      </c>
      <c r="G276" s="7">
        <v>43137300</v>
      </c>
    </row>
    <row r="277" spans="1:7" ht="18" x14ac:dyDescent="0.2">
      <c r="A277" s="5">
        <v>45627</v>
      </c>
      <c r="B277" s="6">
        <v>72.400000000000006</v>
      </c>
      <c r="C277" s="6">
        <v>72.510000000000005</v>
      </c>
      <c r="D277" s="6">
        <v>59.11</v>
      </c>
      <c r="E277" s="6">
        <v>61.85</v>
      </c>
      <c r="F277" s="6">
        <v>59.08</v>
      </c>
      <c r="G277" s="7">
        <v>63127100</v>
      </c>
    </row>
    <row r="278" spans="1:7" ht="18" x14ac:dyDescent="0.2">
      <c r="A278" s="5">
        <v>45597</v>
      </c>
      <c r="B278" s="6">
        <v>64.069999999999993</v>
      </c>
      <c r="C278" s="6">
        <v>73.45</v>
      </c>
      <c r="D278" s="6">
        <v>62.03</v>
      </c>
      <c r="E278" s="6">
        <v>72.25</v>
      </c>
      <c r="F278" s="6">
        <v>69.010000000000005</v>
      </c>
      <c r="G278" s="7">
        <v>33476400</v>
      </c>
    </row>
    <row r="279" spans="1:7" ht="18" x14ac:dyDescent="0.2">
      <c r="A279" s="5">
        <v>45566</v>
      </c>
      <c r="B279" s="6">
        <v>59.41</v>
      </c>
      <c r="C279" s="6">
        <v>66.06</v>
      </c>
      <c r="D279" s="6">
        <v>57.24</v>
      </c>
      <c r="E279" s="6">
        <v>63.71</v>
      </c>
      <c r="F279" s="6">
        <v>60.86</v>
      </c>
      <c r="G279" s="7">
        <v>44542900</v>
      </c>
    </row>
    <row r="280" spans="1:7" ht="18" x14ac:dyDescent="0.2">
      <c r="A280" s="5">
        <v>45536</v>
      </c>
      <c r="B280" s="6">
        <v>56.71</v>
      </c>
      <c r="C280" s="6">
        <v>61.84</v>
      </c>
      <c r="D280" s="6">
        <v>54.43</v>
      </c>
      <c r="E280" s="6">
        <v>59.91</v>
      </c>
      <c r="F280" s="6">
        <v>56.51</v>
      </c>
      <c r="G280" s="7">
        <v>41768300</v>
      </c>
    </row>
    <row r="281" spans="1:7" ht="18" x14ac:dyDescent="0.2">
      <c r="A281" s="5">
        <v>45505</v>
      </c>
      <c r="B281" s="6">
        <v>54.38</v>
      </c>
      <c r="C281" s="6">
        <v>58.19</v>
      </c>
      <c r="D281" s="6">
        <v>48.33</v>
      </c>
      <c r="E281" s="6">
        <v>57.11</v>
      </c>
      <c r="F281" s="6">
        <v>53.87</v>
      </c>
      <c r="G281" s="7">
        <v>37291900</v>
      </c>
    </row>
    <row r="282" spans="1:7" ht="18" x14ac:dyDescent="0.2">
      <c r="A282" s="5">
        <v>45474</v>
      </c>
      <c r="B282" s="6">
        <v>51.09</v>
      </c>
      <c r="C282" s="6">
        <v>58.5</v>
      </c>
      <c r="D282" s="6">
        <v>48.71</v>
      </c>
      <c r="E282" s="6">
        <v>54.81</v>
      </c>
      <c r="F282" s="6">
        <v>51.7</v>
      </c>
      <c r="G282" s="7">
        <v>52552300</v>
      </c>
    </row>
    <row r="283" spans="1:7" ht="18" x14ac:dyDescent="0.2">
      <c r="A283" s="5">
        <v>45444</v>
      </c>
      <c r="B283" s="6">
        <v>51.47</v>
      </c>
      <c r="C283" s="6">
        <v>51.6</v>
      </c>
      <c r="D283" s="6">
        <v>45.32</v>
      </c>
      <c r="E283" s="6">
        <v>51.04</v>
      </c>
      <c r="F283" s="6">
        <v>47.43</v>
      </c>
      <c r="G283" s="7">
        <v>70805800</v>
      </c>
    </row>
    <row r="284" spans="1:7" ht="18" x14ac:dyDescent="0.2">
      <c r="A284" s="5">
        <v>45413</v>
      </c>
      <c r="B284" s="6">
        <v>50.36</v>
      </c>
      <c r="C284" s="6">
        <v>56.16</v>
      </c>
      <c r="D284" s="6">
        <v>48.57</v>
      </c>
      <c r="E284" s="6">
        <v>51.24</v>
      </c>
      <c r="F284" s="6">
        <v>47.62</v>
      </c>
      <c r="G284" s="7">
        <v>34488300</v>
      </c>
    </row>
    <row r="285" spans="1:7" ht="18" x14ac:dyDescent="0.2">
      <c r="A285" s="5">
        <v>45383</v>
      </c>
      <c r="B285" s="6">
        <v>55.25</v>
      </c>
      <c r="C285" s="6">
        <v>55.25</v>
      </c>
      <c r="D285" s="6">
        <v>49.27</v>
      </c>
      <c r="E285" s="6">
        <v>50.17</v>
      </c>
      <c r="F285" s="6">
        <v>46.63</v>
      </c>
      <c r="G285" s="7">
        <v>37329800</v>
      </c>
    </row>
    <row r="286" spans="1:7" ht="18" x14ac:dyDescent="0.2">
      <c r="A286" s="5">
        <v>45352</v>
      </c>
      <c r="B286" s="6">
        <v>48.7</v>
      </c>
      <c r="C286" s="6">
        <v>55.14</v>
      </c>
      <c r="D286" s="6">
        <v>47.64</v>
      </c>
      <c r="E286" s="6">
        <v>54.99</v>
      </c>
      <c r="F286" s="6">
        <v>50.4</v>
      </c>
      <c r="G286" s="7">
        <v>51565400</v>
      </c>
    </row>
    <row r="287" spans="1:7" ht="18" x14ac:dyDescent="0.2">
      <c r="A287" s="5">
        <v>45323</v>
      </c>
      <c r="B287" s="6">
        <v>52.75</v>
      </c>
      <c r="C287" s="6">
        <v>53.39</v>
      </c>
      <c r="D287" s="6">
        <v>47.81</v>
      </c>
      <c r="E287" s="6">
        <v>49.38</v>
      </c>
      <c r="F287" s="6">
        <v>45.26</v>
      </c>
      <c r="G287" s="7">
        <v>40567800</v>
      </c>
    </row>
    <row r="288" spans="1:7" ht="18" x14ac:dyDescent="0.2">
      <c r="A288" s="5">
        <v>45292</v>
      </c>
      <c r="B288" s="6">
        <v>55.46</v>
      </c>
      <c r="C288" s="6">
        <v>57.07</v>
      </c>
      <c r="D288" s="6">
        <v>51.49</v>
      </c>
      <c r="E288" s="6">
        <v>52.58</v>
      </c>
      <c r="F288" s="6">
        <v>48.19</v>
      </c>
      <c r="G288" s="7">
        <v>43036400</v>
      </c>
    </row>
    <row r="289" spans="1:7" ht="18" x14ac:dyDescent="0.2">
      <c r="A289" s="5">
        <v>45261</v>
      </c>
      <c r="B289" s="6">
        <v>44.83</v>
      </c>
      <c r="C289" s="6">
        <v>57.39</v>
      </c>
      <c r="D289" s="6">
        <v>44.63</v>
      </c>
      <c r="E289" s="6">
        <v>55.81</v>
      </c>
      <c r="F289" s="6">
        <v>50.47</v>
      </c>
      <c r="G289" s="7">
        <v>43775500</v>
      </c>
    </row>
    <row r="290" spans="1:7" ht="18" x14ac:dyDescent="0.2">
      <c r="A290" s="5">
        <v>45231</v>
      </c>
      <c r="B290" s="6">
        <v>39.65</v>
      </c>
      <c r="C290" s="6">
        <v>45.87</v>
      </c>
      <c r="D290" s="6">
        <v>38.76</v>
      </c>
      <c r="E290" s="6">
        <v>45.22</v>
      </c>
      <c r="F290" s="6">
        <v>40.89</v>
      </c>
      <c r="G290" s="7">
        <v>33563600</v>
      </c>
    </row>
    <row r="291" spans="1:7" ht="18" x14ac:dyDescent="0.2">
      <c r="A291" s="5">
        <v>45200</v>
      </c>
      <c r="B291" s="6">
        <v>41</v>
      </c>
      <c r="C291" s="6">
        <v>43.36</v>
      </c>
      <c r="D291" s="6">
        <v>37.4</v>
      </c>
      <c r="E291" s="6">
        <v>39.4</v>
      </c>
      <c r="F291" s="6">
        <v>35.630000000000003</v>
      </c>
      <c r="G291" s="7">
        <v>50479700</v>
      </c>
    </row>
    <row r="292" spans="1:7" ht="18" x14ac:dyDescent="0.2">
      <c r="A292" s="5">
        <v>45170</v>
      </c>
      <c r="B292" s="6">
        <v>48.84</v>
      </c>
      <c r="C292" s="6">
        <v>49.25</v>
      </c>
      <c r="D292" s="6">
        <v>39.340000000000003</v>
      </c>
      <c r="E292" s="6">
        <v>41.55</v>
      </c>
      <c r="F292" s="6">
        <v>36.97</v>
      </c>
      <c r="G292" s="7">
        <v>45158500</v>
      </c>
    </row>
    <row r="293" spans="1:7" ht="18" x14ac:dyDescent="0.2">
      <c r="A293" s="5">
        <v>45139</v>
      </c>
      <c r="B293" s="6">
        <v>53.58</v>
      </c>
      <c r="C293" s="6">
        <v>54.05</v>
      </c>
      <c r="D293" s="6">
        <v>44.6</v>
      </c>
      <c r="E293" s="6">
        <v>48.11</v>
      </c>
      <c r="F293" s="6">
        <v>42.81</v>
      </c>
      <c r="G293" s="7">
        <v>35546600</v>
      </c>
    </row>
    <row r="294" spans="1:7" ht="18" x14ac:dyDescent="0.2">
      <c r="A294" s="5">
        <v>45108</v>
      </c>
      <c r="B294" s="6">
        <v>42.75</v>
      </c>
      <c r="C294" s="6">
        <v>55.83</v>
      </c>
      <c r="D294" s="6">
        <v>41.13</v>
      </c>
      <c r="E294" s="6">
        <v>53.96</v>
      </c>
      <c r="F294" s="6">
        <v>48.01</v>
      </c>
      <c r="G294" s="7">
        <v>59782500</v>
      </c>
    </row>
    <row r="295" spans="1:7" ht="18" x14ac:dyDescent="0.2">
      <c r="A295" s="5">
        <v>45078</v>
      </c>
      <c r="B295" s="6">
        <v>36.68</v>
      </c>
      <c r="C295" s="6">
        <v>44.22</v>
      </c>
      <c r="D295" s="6">
        <v>35.46</v>
      </c>
      <c r="E295" s="6">
        <v>42.36</v>
      </c>
      <c r="F295" s="6">
        <v>37.08</v>
      </c>
      <c r="G295" s="7">
        <v>66703400</v>
      </c>
    </row>
    <row r="296" spans="1:7" ht="18" x14ac:dyDescent="0.2">
      <c r="A296" s="5">
        <v>45047</v>
      </c>
      <c r="B296" s="6">
        <v>43.42</v>
      </c>
      <c r="C296" s="6">
        <v>44.38</v>
      </c>
      <c r="D296" s="6">
        <v>28.4</v>
      </c>
      <c r="E296" s="6">
        <v>36.1</v>
      </c>
      <c r="F296" s="6">
        <v>31.6</v>
      </c>
      <c r="G296" s="7">
        <v>122323400</v>
      </c>
    </row>
    <row r="297" spans="1:7" ht="18" x14ac:dyDescent="0.2">
      <c r="A297" s="5">
        <v>45017</v>
      </c>
      <c r="B297" s="6">
        <v>43.57</v>
      </c>
      <c r="C297" s="6">
        <v>47.53</v>
      </c>
      <c r="D297" s="6">
        <v>38.159999999999997</v>
      </c>
      <c r="E297" s="6">
        <v>43.37</v>
      </c>
      <c r="F297" s="6">
        <v>37.96</v>
      </c>
      <c r="G297" s="7">
        <v>68145700</v>
      </c>
    </row>
    <row r="298" spans="1:7" ht="18" x14ac:dyDescent="0.2">
      <c r="A298" s="5">
        <v>44986</v>
      </c>
      <c r="B298" s="6">
        <v>70</v>
      </c>
      <c r="C298" s="6">
        <v>71.14</v>
      </c>
      <c r="D298" s="6">
        <v>29.17</v>
      </c>
      <c r="E298" s="6">
        <v>43.42</v>
      </c>
      <c r="F298" s="6">
        <v>37.369999999999997</v>
      </c>
      <c r="G298" s="7">
        <v>144493500</v>
      </c>
    </row>
    <row r="299" spans="1:7" ht="18" x14ac:dyDescent="0.2">
      <c r="A299" s="5">
        <v>44958</v>
      </c>
      <c r="B299" s="6">
        <v>72.52</v>
      </c>
      <c r="C299" s="6">
        <v>77.34</v>
      </c>
      <c r="D299" s="6">
        <v>68.38</v>
      </c>
      <c r="E299" s="6">
        <v>70.099999999999994</v>
      </c>
      <c r="F299" s="6">
        <v>60.34</v>
      </c>
      <c r="G299" s="7">
        <v>28010900</v>
      </c>
    </row>
    <row r="300" spans="1:7" ht="18" x14ac:dyDescent="0.2">
      <c r="A300" s="5">
        <v>44927</v>
      </c>
      <c r="B300" s="6">
        <v>67.25</v>
      </c>
      <c r="C300" s="6">
        <v>73.400000000000006</v>
      </c>
      <c r="D300" s="6">
        <v>65.22</v>
      </c>
      <c r="E300" s="6">
        <v>73.31</v>
      </c>
      <c r="F300" s="6">
        <v>63.1</v>
      </c>
      <c r="G300" s="7">
        <v>30792900</v>
      </c>
    </row>
    <row r="301" spans="1:7" ht="18" x14ac:dyDescent="0.2">
      <c r="A301" s="5">
        <v>44896</v>
      </c>
      <c r="B301" s="6">
        <v>72.42</v>
      </c>
      <c r="C301" s="6">
        <v>72.92</v>
      </c>
      <c r="D301" s="6">
        <v>62.83</v>
      </c>
      <c r="E301" s="6">
        <v>66.849999999999994</v>
      </c>
      <c r="F301" s="6">
        <v>56.95</v>
      </c>
      <c r="G301" s="7">
        <v>31114800</v>
      </c>
    </row>
    <row r="302" spans="1:7" ht="18" x14ac:dyDescent="0.2">
      <c r="A302" s="5">
        <v>44866</v>
      </c>
      <c r="B302" s="6">
        <v>71.400000000000006</v>
      </c>
      <c r="C302" s="6">
        <v>75.5</v>
      </c>
      <c r="D302" s="6">
        <v>65.64</v>
      </c>
      <c r="E302" s="6">
        <v>71.739999999999995</v>
      </c>
      <c r="F302" s="6">
        <v>61.11</v>
      </c>
      <c r="G302" s="7">
        <v>30335800</v>
      </c>
    </row>
    <row r="303" spans="1:7" ht="18" x14ac:dyDescent="0.2">
      <c r="A303" s="5">
        <v>44835</v>
      </c>
      <c r="B303" s="6">
        <v>72.11</v>
      </c>
      <c r="C303" s="6">
        <v>76.44</v>
      </c>
      <c r="D303" s="6">
        <v>64.11</v>
      </c>
      <c r="E303" s="6">
        <v>70.5</v>
      </c>
      <c r="F303" s="6">
        <v>60.06</v>
      </c>
      <c r="G303" s="7">
        <v>38004100</v>
      </c>
    </row>
    <row r="304" spans="1:7" ht="18" x14ac:dyDescent="0.2">
      <c r="A304" s="5">
        <v>44805</v>
      </c>
      <c r="B304" s="6">
        <v>80.19</v>
      </c>
      <c r="C304" s="6">
        <v>86.42</v>
      </c>
      <c r="D304" s="6">
        <v>70.989999999999995</v>
      </c>
      <c r="E304" s="6">
        <v>71.099999999999994</v>
      </c>
      <c r="F304" s="6">
        <v>60.07</v>
      </c>
      <c r="G304" s="7">
        <v>27706600</v>
      </c>
    </row>
    <row r="305" spans="1:7" ht="18" x14ac:dyDescent="0.2">
      <c r="A305" s="5">
        <v>44774</v>
      </c>
      <c r="B305" s="6">
        <v>77.260000000000005</v>
      </c>
      <c r="C305" s="6">
        <v>87.02</v>
      </c>
      <c r="D305" s="6">
        <v>76.41</v>
      </c>
      <c r="E305" s="6">
        <v>80.3</v>
      </c>
      <c r="F305" s="6">
        <v>67.84</v>
      </c>
      <c r="G305" s="7">
        <v>16150400</v>
      </c>
    </row>
    <row r="306" spans="1:7" ht="18" x14ac:dyDescent="0.2">
      <c r="A306" s="5">
        <v>44743</v>
      </c>
      <c r="B306" s="6">
        <v>73.239999999999995</v>
      </c>
      <c r="C306" s="6">
        <v>82.82</v>
      </c>
      <c r="D306" s="6">
        <v>70.709999999999994</v>
      </c>
      <c r="E306" s="6">
        <v>77.77</v>
      </c>
      <c r="F306" s="6">
        <v>65.7</v>
      </c>
      <c r="G306" s="7">
        <v>22438800</v>
      </c>
    </row>
    <row r="307" spans="1:7" ht="18" x14ac:dyDescent="0.2">
      <c r="A307" s="5">
        <v>44713</v>
      </c>
      <c r="B307" s="6">
        <v>83.53</v>
      </c>
      <c r="C307" s="6">
        <v>83.53</v>
      </c>
      <c r="D307" s="6">
        <v>72.069999999999993</v>
      </c>
      <c r="E307" s="6">
        <v>73.38</v>
      </c>
      <c r="F307" s="6">
        <v>61.43</v>
      </c>
      <c r="G307" s="7">
        <v>25320800</v>
      </c>
    </row>
    <row r="308" spans="1:7" ht="18" x14ac:dyDescent="0.2">
      <c r="A308" s="5">
        <v>44682</v>
      </c>
      <c r="B308" s="6">
        <v>84.12</v>
      </c>
      <c r="C308" s="6">
        <v>85.99</v>
      </c>
      <c r="D308" s="6">
        <v>70.790000000000006</v>
      </c>
      <c r="E308" s="6">
        <v>83.21</v>
      </c>
      <c r="F308" s="6">
        <v>69.66</v>
      </c>
      <c r="G308" s="7">
        <v>30311600</v>
      </c>
    </row>
    <row r="309" spans="1:7" ht="18" x14ac:dyDescent="0.2">
      <c r="A309" s="5">
        <v>44652</v>
      </c>
      <c r="B309" s="6">
        <v>93.84</v>
      </c>
      <c r="C309" s="6">
        <v>93.96</v>
      </c>
      <c r="D309" s="6">
        <v>78.569999999999993</v>
      </c>
      <c r="E309" s="6">
        <v>81.900000000000006</v>
      </c>
      <c r="F309" s="6">
        <v>68.56</v>
      </c>
      <c r="G309" s="7">
        <v>34737300</v>
      </c>
    </row>
    <row r="310" spans="1:7" ht="18" x14ac:dyDescent="0.2">
      <c r="A310" s="5">
        <v>44621</v>
      </c>
      <c r="B310" s="6">
        <v>94.31</v>
      </c>
      <c r="C310" s="6">
        <v>97.52</v>
      </c>
      <c r="D310" s="6">
        <v>83.44</v>
      </c>
      <c r="E310" s="6">
        <v>90.43</v>
      </c>
      <c r="F310" s="6">
        <v>75.12</v>
      </c>
      <c r="G310" s="7">
        <v>38107900</v>
      </c>
    </row>
    <row r="311" spans="1:7" ht="18" x14ac:dyDescent="0.2">
      <c r="A311" s="5">
        <v>44593</v>
      </c>
      <c r="B311" s="6">
        <v>93</v>
      </c>
      <c r="C311" s="6">
        <v>102.09</v>
      </c>
      <c r="D311" s="6">
        <v>87.35</v>
      </c>
      <c r="E311" s="6">
        <v>95.49</v>
      </c>
      <c r="F311" s="6">
        <v>79.319999999999993</v>
      </c>
      <c r="G311" s="7">
        <v>21044900</v>
      </c>
    </row>
    <row r="312" spans="1:7" ht="18" x14ac:dyDescent="0.2">
      <c r="A312" s="5">
        <v>44562</v>
      </c>
      <c r="B312" s="6">
        <v>88.32</v>
      </c>
      <c r="C312" s="6">
        <v>102</v>
      </c>
      <c r="D312" s="6">
        <v>85.61</v>
      </c>
      <c r="E312" s="6">
        <v>92.78</v>
      </c>
      <c r="F312" s="6">
        <v>77.069999999999993</v>
      </c>
      <c r="G312" s="7">
        <v>30678000</v>
      </c>
    </row>
    <row r="313" spans="1:7" ht="18" x14ac:dyDescent="0.2">
      <c r="A313" s="5">
        <v>44531</v>
      </c>
      <c r="B313" s="6">
        <v>84.78</v>
      </c>
      <c r="C313" s="6">
        <v>88.76</v>
      </c>
      <c r="D313" s="6">
        <v>79.989999999999995</v>
      </c>
      <c r="E313" s="6">
        <v>87</v>
      </c>
      <c r="F313" s="6">
        <v>71.67</v>
      </c>
      <c r="G313" s="7">
        <v>29554100</v>
      </c>
    </row>
    <row r="314" spans="1:7" ht="18" x14ac:dyDescent="0.2">
      <c r="A314" s="5">
        <v>44501</v>
      </c>
      <c r="B314" s="6">
        <v>86.11</v>
      </c>
      <c r="C314" s="6">
        <v>91.62</v>
      </c>
      <c r="D314" s="6">
        <v>82.29</v>
      </c>
      <c r="E314" s="6">
        <v>82.53</v>
      </c>
      <c r="F314" s="6">
        <v>67.989999999999995</v>
      </c>
      <c r="G314" s="7">
        <v>18812300</v>
      </c>
    </row>
    <row r="315" spans="1:7" ht="18" x14ac:dyDescent="0.2">
      <c r="A315" s="5">
        <v>44470</v>
      </c>
      <c r="B315" s="6">
        <v>80.91</v>
      </c>
      <c r="C315" s="6">
        <v>89.21</v>
      </c>
      <c r="D315" s="6">
        <v>80.63</v>
      </c>
      <c r="E315" s="6">
        <v>85.09</v>
      </c>
      <c r="F315" s="6">
        <v>70.099999999999994</v>
      </c>
      <c r="G315" s="7">
        <v>23072500</v>
      </c>
    </row>
    <row r="316" spans="1:7" ht="18" x14ac:dyDescent="0.2">
      <c r="A316" s="5">
        <v>44440</v>
      </c>
      <c r="B316" s="6">
        <v>73.89</v>
      </c>
      <c r="C316" s="6">
        <v>83.03</v>
      </c>
      <c r="D316" s="6">
        <v>70.37</v>
      </c>
      <c r="E316" s="6">
        <v>80.5</v>
      </c>
      <c r="F316" s="6">
        <v>65.709999999999994</v>
      </c>
      <c r="G316" s="7">
        <v>35303600</v>
      </c>
    </row>
    <row r="317" spans="1:7" ht="18" x14ac:dyDescent="0.2">
      <c r="A317" s="5">
        <v>44409</v>
      </c>
      <c r="B317" s="6">
        <v>69.150000000000006</v>
      </c>
      <c r="C317" s="6">
        <v>76.010000000000005</v>
      </c>
      <c r="D317" s="6">
        <v>66.5</v>
      </c>
      <c r="E317" s="6">
        <v>73.91</v>
      </c>
      <c r="F317" s="6">
        <v>60.33</v>
      </c>
      <c r="G317" s="7">
        <v>26826400</v>
      </c>
    </row>
    <row r="318" spans="1:7" ht="18" x14ac:dyDescent="0.2">
      <c r="A318" s="5">
        <v>44378</v>
      </c>
      <c r="B318" s="6">
        <v>72.08</v>
      </c>
      <c r="C318" s="6">
        <v>72.52</v>
      </c>
      <c r="D318" s="6">
        <v>63.07</v>
      </c>
      <c r="E318" s="6">
        <v>68.66</v>
      </c>
      <c r="F318" s="6">
        <v>56.04</v>
      </c>
      <c r="G318" s="7">
        <v>26629900</v>
      </c>
    </row>
    <row r="319" spans="1:7" ht="18" x14ac:dyDescent="0.2">
      <c r="A319" s="5">
        <v>44348</v>
      </c>
      <c r="B319" s="6">
        <v>79.5</v>
      </c>
      <c r="C319" s="6">
        <v>79.86</v>
      </c>
      <c r="D319" s="6">
        <v>67.540000000000006</v>
      </c>
      <c r="E319" s="6">
        <v>71.34</v>
      </c>
      <c r="F319" s="6">
        <v>57.69</v>
      </c>
      <c r="G319" s="7">
        <v>32975700</v>
      </c>
    </row>
    <row r="320" spans="1:7" ht="18" x14ac:dyDescent="0.2">
      <c r="A320" s="5">
        <v>44317</v>
      </c>
      <c r="B320" s="6">
        <v>76.09</v>
      </c>
      <c r="C320" s="6">
        <v>79.84</v>
      </c>
      <c r="D320" s="6">
        <v>73.33</v>
      </c>
      <c r="E320" s="6">
        <v>78.489999999999995</v>
      </c>
      <c r="F320" s="6">
        <v>63.48</v>
      </c>
      <c r="G320" s="7">
        <v>25831300</v>
      </c>
    </row>
    <row r="321" spans="1:7" ht="18" x14ac:dyDescent="0.2">
      <c r="A321" s="5">
        <v>44287</v>
      </c>
      <c r="B321" s="6">
        <v>71.45</v>
      </c>
      <c r="C321" s="6">
        <v>76.13</v>
      </c>
      <c r="D321" s="6">
        <v>66.36</v>
      </c>
      <c r="E321" s="6">
        <v>75.16</v>
      </c>
      <c r="F321" s="6">
        <v>60.78</v>
      </c>
      <c r="G321" s="7">
        <v>33717700</v>
      </c>
    </row>
    <row r="322" spans="1:7" ht="18" x14ac:dyDescent="0.2">
      <c r="A322" s="5">
        <v>44256</v>
      </c>
      <c r="B322" s="6">
        <v>69.84</v>
      </c>
      <c r="C322" s="6">
        <v>73.62</v>
      </c>
      <c r="D322" s="6">
        <v>65.66</v>
      </c>
      <c r="E322" s="6">
        <v>71.739999999999995</v>
      </c>
      <c r="F322" s="6">
        <v>57.46</v>
      </c>
      <c r="G322" s="7">
        <v>39208300</v>
      </c>
    </row>
    <row r="323" spans="1:7" ht="18" x14ac:dyDescent="0.2">
      <c r="A323" s="5">
        <v>44228</v>
      </c>
      <c r="B323" s="6">
        <v>57.72</v>
      </c>
      <c r="C323" s="6">
        <v>73.73</v>
      </c>
      <c r="D323" s="6">
        <v>56.72</v>
      </c>
      <c r="E323" s="6">
        <v>68.099999999999994</v>
      </c>
      <c r="F323" s="6">
        <v>54.54</v>
      </c>
      <c r="G323" s="7">
        <v>22647600</v>
      </c>
    </row>
    <row r="324" spans="1:7" ht="18" x14ac:dyDescent="0.2">
      <c r="A324" s="5">
        <v>44197</v>
      </c>
      <c r="B324" s="6">
        <v>56.66</v>
      </c>
      <c r="C324" s="6">
        <v>66.08</v>
      </c>
      <c r="D324" s="6">
        <v>54.78</v>
      </c>
      <c r="E324" s="6">
        <v>57.2</v>
      </c>
      <c r="F324" s="6">
        <v>45.81</v>
      </c>
      <c r="G324" s="7">
        <v>28298700</v>
      </c>
    </row>
    <row r="325" spans="1:7" ht="18" x14ac:dyDescent="0.2">
      <c r="A325" s="5">
        <v>44166</v>
      </c>
      <c r="B325" s="6">
        <v>50.92</v>
      </c>
      <c r="C325" s="6">
        <v>56.97</v>
      </c>
      <c r="D325" s="6">
        <v>50.49</v>
      </c>
      <c r="E325" s="6">
        <v>55.86</v>
      </c>
      <c r="F325" s="6">
        <v>44.16</v>
      </c>
      <c r="G325" s="7">
        <v>34769300</v>
      </c>
    </row>
    <row r="329" spans="1:7" x14ac:dyDescent="0.2">
      <c r="A329" s="8" t="s">
        <v>7</v>
      </c>
      <c r="B329" s="8" t="s">
        <v>8</v>
      </c>
      <c r="C329" s="8" t="s">
        <v>9</v>
      </c>
      <c r="D329" s="8" t="s">
        <v>10</v>
      </c>
      <c r="E329" s="8" t="s">
        <v>11</v>
      </c>
      <c r="F329" s="8" t="s">
        <v>12</v>
      </c>
      <c r="G329" s="8" t="s">
        <v>13</v>
      </c>
    </row>
    <row r="330" spans="1:7" x14ac:dyDescent="0.2">
      <c r="A330" s="9">
        <v>45962</v>
      </c>
      <c r="B330" s="8">
        <v>44.4</v>
      </c>
      <c r="C330" s="8">
        <v>44.74</v>
      </c>
      <c r="D330" s="8">
        <v>43.37</v>
      </c>
      <c r="E330" s="8">
        <v>44.74</v>
      </c>
      <c r="F330" s="8">
        <v>44.74</v>
      </c>
      <c r="G330" s="10">
        <v>47378200</v>
      </c>
    </row>
    <row r="331" spans="1:7" x14ac:dyDescent="0.2">
      <c r="A331" s="9">
        <v>45931</v>
      </c>
      <c r="B331" s="8">
        <v>45.36</v>
      </c>
      <c r="C331" s="8">
        <v>46.37</v>
      </c>
      <c r="D331" s="8">
        <v>40.78</v>
      </c>
      <c r="E331" s="8">
        <v>44.63</v>
      </c>
      <c r="F331" s="8">
        <v>44.63</v>
      </c>
      <c r="G331" s="10">
        <v>196752000</v>
      </c>
    </row>
    <row r="332" spans="1:7" x14ac:dyDescent="0.2">
      <c r="A332" s="9">
        <v>45901</v>
      </c>
      <c r="B332" s="8">
        <v>46.39</v>
      </c>
      <c r="C332" s="8">
        <v>47.46</v>
      </c>
      <c r="D332" s="8">
        <v>43.99</v>
      </c>
      <c r="E332" s="8">
        <v>45.72</v>
      </c>
      <c r="F332" s="8">
        <v>45.72</v>
      </c>
      <c r="G332" s="10">
        <v>166292700</v>
      </c>
    </row>
    <row r="333" spans="1:7" x14ac:dyDescent="0.2">
      <c r="A333" s="9">
        <v>45870</v>
      </c>
      <c r="B333" s="8">
        <v>42.92</v>
      </c>
      <c r="C333" s="8">
        <v>47.14</v>
      </c>
      <c r="D333" s="8">
        <v>41.98</v>
      </c>
      <c r="E333" s="8">
        <v>46.82</v>
      </c>
      <c r="F333" s="8">
        <v>46.25</v>
      </c>
      <c r="G333" s="10">
        <v>143997800</v>
      </c>
    </row>
    <row r="334" spans="1:7" x14ac:dyDescent="0.2">
      <c r="A334" s="9">
        <v>45839</v>
      </c>
      <c r="B334" s="8">
        <v>42.82</v>
      </c>
      <c r="C334" s="8">
        <v>46.13</v>
      </c>
      <c r="D334" s="8">
        <v>42.74</v>
      </c>
      <c r="E334" s="8">
        <v>43.71</v>
      </c>
      <c r="F334" s="8">
        <v>43.18</v>
      </c>
      <c r="G334" s="10">
        <v>179922600</v>
      </c>
    </row>
    <row r="335" spans="1:7" x14ac:dyDescent="0.2">
      <c r="A335" s="9">
        <v>45809</v>
      </c>
      <c r="B335" s="8">
        <v>39.21</v>
      </c>
      <c r="C335" s="8">
        <v>43.25</v>
      </c>
      <c r="D335" s="8">
        <v>38.67</v>
      </c>
      <c r="E335" s="8">
        <v>42.99</v>
      </c>
      <c r="F335" s="8">
        <v>42.47</v>
      </c>
      <c r="G335" s="10">
        <v>143791300</v>
      </c>
    </row>
    <row r="336" spans="1:7" x14ac:dyDescent="0.2">
      <c r="A336" s="9">
        <v>45778</v>
      </c>
      <c r="B336" s="8">
        <v>38.31</v>
      </c>
      <c r="C336" s="8">
        <v>41.49</v>
      </c>
      <c r="D336" s="8">
        <v>38.159999999999997</v>
      </c>
      <c r="E336" s="8">
        <v>39.5</v>
      </c>
      <c r="F336" s="8">
        <v>38.51</v>
      </c>
      <c r="G336" s="10">
        <v>161270100</v>
      </c>
    </row>
    <row r="337" spans="1:7" x14ac:dyDescent="0.2">
      <c r="A337" s="9">
        <v>45748</v>
      </c>
      <c r="B337" s="8">
        <v>40.78</v>
      </c>
      <c r="C337" s="8">
        <v>41.63</v>
      </c>
      <c r="D337" s="8">
        <v>33.56</v>
      </c>
      <c r="E337" s="8">
        <v>38.340000000000003</v>
      </c>
      <c r="F337" s="8">
        <v>37.380000000000003</v>
      </c>
      <c r="G337" s="10">
        <v>288658400</v>
      </c>
    </row>
    <row r="338" spans="1:7" x14ac:dyDescent="0.2">
      <c r="A338" s="9">
        <v>45717</v>
      </c>
      <c r="B338" s="8">
        <v>46.54</v>
      </c>
      <c r="C338" s="8">
        <v>46.92</v>
      </c>
      <c r="D338" s="8">
        <v>39.409999999999997</v>
      </c>
      <c r="E338" s="8">
        <v>41.15</v>
      </c>
      <c r="F338" s="8">
        <v>40.119999999999997</v>
      </c>
      <c r="G338" s="10">
        <v>204852900</v>
      </c>
    </row>
    <row r="339" spans="1:7" x14ac:dyDescent="0.2">
      <c r="A339" s="9">
        <v>45689</v>
      </c>
      <c r="B339" s="8">
        <v>46.65</v>
      </c>
      <c r="C339" s="8">
        <v>48.27</v>
      </c>
      <c r="D339" s="8">
        <v>44.79</v>
      </c>
      <c r="E339" s="8">
        <v>46.35</v>
      </c>
      <c r="F339" s="8">
        <v>44.68</v>
      </c>
      <c r="G339" s="10">
        <v>121647200</v>
      </c>
    </row>
    <row r="340" spans="1:7" x14ac:dyDescent="0.2">
      <c r="A340" s="9">
        <v>45658</v>
      </c>
      <c r="B340" s="8">
        <v>43.74</v>
      </c>
      <c r="C340" s="8">
        <v>48.53</v>
      </c>
      <c r="D340" s="8">
        <v>42.57</v>
      </c>
      <c r="E340" s="8">
        <v>47.62</v>
      </c>
      <c r="F340" s="8">
        <v>45.9</v>
      </c>
      <c r="G340" s="10">
        <v>157933000</v>
      </c>
    </row>
    <row r="341" spans="1:7" x14ac:dyDescent="0.2">
      <c r="A341" s="9">
        <v>45627</v>
      </c>
      <c r="B341" s="8">
        <v>47.9</v>
      </c>
      <c r="C341" s="8">
        <v>47.97</v>
      </c>
      <c r="D341" s="8">
        <v>42.28</v>
      </c>
      <c r="E341" s="8">
        <v>43.38</v>
      </c>
      <c r="F341" s="8">
        <v>41.82</v>
      </c>
      <c r="G341" s="10">
        <v>148797800</v>
      </c>
    </row>
    <row r="342" spans="1:7" x14ac:dyDescent="0.2">
      <c r="A342" s="9">
        <v>45597</v>
      </c>
      <c r="B342" s="8">
        <v>43.33</v>
      </c>
      <c r="C342" s="8">
        <v>49.06</v>
      </c>
      <c r="D342" s="8">
        <v>42.04</v>
      </c>
      <c r="E342" s="8">
        <v>47.68</v>
      </c>
      <c r="F342" s="8">
        <v>45.44</v>
      </c>
      <c r="G342" s="10">
        <v>178506700</v>
      </c>
    </row>
    <row r="343" spans="1:7" x14ac:dyDescent="0.2">
      <c r="A343" s="9">
        <v>45566</v>
      </c>
      <c r="B343" s="8">
        <v>42.51</v>
      </c>
      <c r="C343" s="8">
        <v>44.93</v>
      </c>
      <c r="D343" s="8">
        <v>41.08</v>
      </c>
      <c r="E343" s="8">
        <v>43.05</v>
      </c>
      <c r="F343" s="8">
        <v>41.03</v>
      </c>
      <c r="G343" s="10">
        <v>181114000</v>
      </c>
    </row>
    <row r="344" spans="1:7" x14ac:dyDescent="0.2">
      <c r="A344" s="9">
        <v>45536</v>
      </c>
      <c r="B344" s="8">
        <v>44.09</v>
      </c>
      <c r="C344" s="8">
        <v>44.76</v>
      </c>
      <c r="D344" s="8">
        <v>40.67</v>
      </c>
      <c r="E344" s="8">
        <v>42.77</v>
      </c>
      <c r="F344" s="8">
        <v>40.76</v>
      </c>
      <c r="G344" s="10">
        <v>154849300</v>
      </c>
    </row>
    <row r="345" spans="1:7" x14ac:dyDescent="0.2">
      <c r="A345" s="9">
        <v>45505</v>
      </c>
      <c r="B345" s="8">
        <v>44.76</v>
      </c>
      <c r="C345" s="8">
        <v>44.87</v>
      </c>
      <c r="D345" s="8">
        <v>39.92</v>
      </c>
      <c r="E345" s="8">
        <v>44.46</v>
      </c>
      <c r="F345" s="8">
        <v>41.85</v>
      </c>
      <c r="G345" s="10">
        <v>159398200</v>
      </c>
    </row>
    <row r="346" spans="1:7" x14ac:dyDescent="0.2">
      <c r="A346" s="9">
        <v>45474</v>
      </c>
      <c r="B346" s="8">
        <v>38.82</v>
      </c>
      <c r="C346" s="8">
        <v>45.31</v>
      </c>
      <c r="D346" s="8">
        <v>37.85</v>
      </c>
      <c r="E346" s="8">
        <v>44.69</v>
      </c>
      <c r="F346" s="8">
        <v>42.07</v>
      </c>
      <c r="G346" s="10">
        <v>165060800</v>
      </c>
    </row>
    <row r="347" spans="1:7" x14ac:dyDescent="0.2">
      <c r="A347" s="9">
        <v>45444</v>
      </c>
      <c r="B347" s="8">
        <v>38.11</v>
      </c>
      <c r="C347" s="8">
        <v>38.89</v>
      </c>
      <c r="D347" s="8">
        <v>35.1</v>
      </c>
      <c r="E347" s="8">
        <v>38.85</v>
      </c>
      <c r="F347" s="8">
        <v>36.57</v>
      </c>
      <c r="G347" s="10">
        <v>139227300</v>
      </c>
    </row>
    <row r="348" spans="1:7" x14ac:dyDescent="0.2">
      <c r="A348" s="9">
        <v>45413</v>
      </c>
      <c r="B348" s="8">
        <v>37.69</v>
      </c>
      <c r="C348" s="8">
        <v>40.51</v>
      </c>
      <c r="D348" s="8">
        <v>36.79</v>
      </c>
      <c r="E348" s="8">
        <v>37.75</v>
      </c>
      <c r="F348" s="8">
        <v>35.07</v>
      </c>
      <c r="G348" s="10">
        <v>143673500</v>
      </c>
    </row>
    <row r="349" spans="1:7" x14ac:dyDescent="0.2">
      <c r="A349" s="9">
        <v>45383</v>
      </c>
      <c r="B349" s="8">
        <v>38.92</v>
      </c>
      <c r="C349" s="8">
        <v>39.229999999999997</v>
      </c>
      <c r="D349" s="8">
        <v>35.090000000000003</v>
      </c>
      <c r="E349" s="8">
        <v>37.549999999999997</v>
      </c>
      <c r="F349" s="8">
        <v>34.880000000000003</v>
      </c>
      <c r="G349" s="10">
        <v>188458300</v>
      </c>
    </row>
    <row r="350" spans="1:7" x14ac:dyDescent="0.2">
      <c r="A350" s="9">
        <v>45352</v>
      </c>
      <c r="B350" s="8">
        <v>34.97</v>
      </c>
      <c r="C350" s="8">
        <v>39.29</v>
      </c>
      <c r="D350" s="8">
        <v>34.51</v>
      </c>
      <c r="E350" s="8">
        <v>38.979999999999997</v>
      </c>
      <c r="F350" s="8">
        <v>36.21</v>
      </c>
      <c r="G350" s="10">
        <v>195065700</v>
      </c>
    </row>
    <row r="351" spans="1:7" x14ac:dyDescent="0.2">
      <c r="A351" s="9">
        <v>45323</v>
      </c>
      <c r="B351" s="8">
        <v>37.25</v>
      </c>
      <c r="C351" s="8">
        <v>37.99</v>
      </c>
      <c r="D351" s="8">
        <v>34.229999999999997</v>
      </c>
      <c r="E351" s="8">
        <v>34.979999999999997</v>
      </c>
      <c r="F351" s="8">
        <v>32.020000000000003</v>
      </c>
      <c r="G351" s="10">
        <v>201344800</v>
      </c>
    </row>
    <row r="352" spans="1:7" x14ac:dyDescent="0.2">
      <c r="A352" s="9">
        <v>45292</v>
      </c>
      <c r="B352" s="8">
        <v>36.630000000000003</v>
      </c>
      <c r="C352" s="8">
        <v>38.47</v>
      </c>
      <c r="D352" s="8">
        <v>35.090000000000003</v>
      </c>
      <c r="E352" s="8">
        <v>37.06</v>
      </c>
      <c r="F352" s="8">
        <v>33.93</v>
      </c>
      <c r="G352" s="10">
        <v>206938100</v>
      </c>
    </row>
    <row r="353" spans="1:7" x14ac:dyDescent="0.2">
      <c r="A353" s="9">
        <v>45261</v>
      </c>
      <c r="B353" s="8">
        <v>32.020000000000003</v>
      </c>
      <c r="C353" s="8">
        <v>37.83</v>
      </c>
      <c r="D353" s="8">
        <v>31.96</v>
      </c>
      <c r="E353" s="8">
        <v>36.92</v>
      </c>
      <c r="F353" s="8">
        <v>33.799999999999997</v>
      </c>
      <c r="G353" s="10">
        <v>203588700</v>
      </c>
    </row>
    <row r="354" spans="1:7" x14ac:dyDescent="0.2">
      <c r="A354" s="9">
        <v>45231</v>
      </c>
      <c r="B354" s="8">
        <v>28.38</v>
      </c>
      <c r="C354" s="8">
        <v>32.71</v>
      </c>
      <c r="D354" s="8">
        <v>28.13</v>
      </c>
      <c r="E354" s="8">
        <v>32.14</v>
      </c>
      <c r="F354" s="8">
        <v>28.92</v>
      </c>
      <c r="G354" s="10">
        <v>170239400</v>
      </c>
    </row>
    <row r="355" spans="1:7" x14ac:dyDescent="0.2">
      <c r="A355" s="9">
        <v>45200</v>
      </c>
      <c r="B355" s="8">
        <v>28.5</v>
      </c>
      <c r="C355" s="8">
        <v>29.92</v>
      </c>
      <c r="D355" s="8">
        <v>26.57</v>
      </c>
      <c r="E355" s="8">
        <v>28.36</v>
      </c>
      <c r="F355" s="8">
        <v>25.52</v>
      </c>
      <c r="G355" s="10">
        <v>236434300</v>
      </c>
    </row>
    <row r="356" spans="1:7" x14ac:dyDescent="0.2">
      <c r="A356" s="9">
        <v>45170</v>
      </c>
      <c r="B356" s="8">
        <v>30.88</v>
      </c>
      <c r="C356" s="8">
        <v>31.35</v>
      </c>
      <c r="D356" s="8">
        <v>27.7</v>
      </c>
      <c r="E356" s="8">
        <v>28.61</v>
      </c>
      <c r="F356" s="8">
        <v>25.74</v>
      </c>
      <c r="G356" s="10">
        <v>203115300</v>
      </c>
    </row>
    <row r="357" spans="1:7" x14ac:dyDescent="0.2">
      <c r="A357" s="9">
        <v>45139</v>
      </c>
      <c r="B357" s="8">
        <v>32.75</v>
      </c>
      <c r="C357" s="8">
        <v>32.96</v>
      </c>
      <c r="D357" s="8">
        <v>27.95</v>
      </c>
      <c r="E357" s="8">
        <v>30.55</v>
      </c>
      <c r="F357" s="8">
        <v>27.04</v>
      </c>
      <c r="G357" s="10">
        <v>232988500</v>
      </c>
    </row>
    <row r="358" spans="1:7" x14ac:dyDescent="0.2">
      <c r="A358" s="9">
        <v>45108</v>
      </c>
      <c r="B358" s="8">
        <v>30.52</v>
      </c>
      <c r="C358" s="8">
        <v>35.78</v>
      </c>
      <c r="D358" s="8">
        <v>29.9</v>
      </c>
      <c r="E358" s="8">
        <v>33.22</v>
      </c>
      <c r="F358" s="8">
        <v>29.4</v>
      </c>
      <c r="G358" s="10">
        <v>208971200</v>
      </c>
    </row>
    <row r="359" spans="1:7" x14ac:dyDescent="0.2">
      <c r="A359" s="9">
        <v>45078</v>
      </c>
      <c r="B359" s="8">
        <v>31.04</v>
      </c>
      <c r="C359" s="8">
        <v>33.75</v>
      </c>
      <c r="D359" s="8">
        <v>29.7</v>
      </c>
      <c r="E359" s="8">
        <v>30.35</v>
      </c>
      <c r="F359" s="8">
        <v>26.86</v>
      </c>
      <c r="G359" s="10">
        <v>241396100</v>
      </c>
    </row>
    <row r="360" spans="1:7" x14ac:dyDescent="0.2">
      <c r="A360" s="9">
        <v>45047</v>
      </c>
      <c r="B360" s="8">
        <v>32.43</v>
      </c>
      <c r="C360" s="8">
        <v>32.53</v>
      </c>
      <c r="D360" s="8">
        <v>25.56</v>
      </c>
      <c r="E360" s="8">
        <v>30.47</v>
      </c>
      <c r="F360" s="8">
        <v>26.46</v>
      </c>
      <c r="G360" s="10">
        <v>340877700</v>
      </c>
    </row>
    <row r="361" spans="1:7" x14ac:dyDescent="0.2">
      <c r="A361" s="9">
        <v>45017</v>
      </c>
      <c r="B361" s="8">
        <v>33.99</v>
      </c>
      <c r="C361" s="8">
        <v>35.39</v>
      </c>
      <c r="D361" s="8">
        <v>30.25</v>
      </c>
      <c r="E361" s="8">
        <v>32.58</v>
      </c>
      <c r="F361" s="8">
        <v>28.29</v>
      </c>
      <c r="G361" s="10">
        <v>258189600</v>
      </c>
    </row>
    <row r="362" spans="1:7" x14ac:dyDescent="0.2">
      <c r="A362" s="9">
        <v>44986</v>
      </c>
      <c r="B362" s="8">
        <v>46.61</v>
      </c>
      <c r="C362" s="8">
        <v>47.05</v>
      </c>
      <c r="D362" s="8">
        <v>28.7</v>
      </c>
      <c r="E362" s="8">
        <v>34.1</v>
      </c>
      <c r="F362" s="8">
        <v>29.61</v>
      </c>
      <c r="G362" s="10">
        <v>507560900</v>
      </c>
    </row>
    <row r="363" spans="1:7" x14ac:dyDescent="0.2">
      <c r="A363" s="9">
        <v>44958</v>
      </c>
      <c r="B363" s="8">
        <v>48.95</v>
      </c>
      <c r="C363" s="8">
        <v>50.57</v>
      </c>
      <c r="D363" s="8">
        <v>46.04</v>
      </c>
      <c r="E363" s="8">
        <v>46.95</v>
      </c>
      <c r="F363" s="8">
        <v>40.340000000000003</v>
      </c>
      <c r="G363" s="10">
        <v>101482700</v>
      </c>
    </row>
    <row r="364" spans="1:7" x14ac:dyDescent="0.2">
      <c r="A364" s="9">
        <v>44927</v>
      </c>
      <c r="B364" s="8">
        <v>43.42</v>
      </c>
      <c r="C364" s="8">
        <v>51.26</v>
      </c>
      <c r="D364" s="8">
        <v>43.01</v>
      </c>
      <c r="E364" s="8">
        <v>49.39</v>
      </c>
      <c r="F364" s="8">
        <v>42.44</v>
      </c>
      <c r="G364" s="10">
        <v>145712200</v>
      </c>
    </row>
    <row r="365" spans="1:7" x14ac:dyDescent="0.2">
      <c r="A365" s="9">
        <v>44896</v>
      </c>
      <c r="B365" s="8">
        <v>47.06</v>
      </c>
      <c r="C365" s="8">
        <v>47.46</v>
      </c>
      <c r="D365" s="8">
        <v>40.549999999999997</v>
      </c>
      <c r="E365" s="8">
        <v>43.03</v>
      </c>
      <c r="F365" s="8">
        <v>36.979999999999997</v>
      </c>
      <c r="G365" s="10">
        <v>181428500</v>
      </c>
    </row>
    <row r="366" spans="1:7" x14ac:dyDescent="0.2">
      <c r="A366" s="9">
        <v>44866</v>
      </c>
      <c r="B366" s="8">
        <v>45.19</v>
      </c>
      <c r="C366" s="8">
        <v>47.47</v>
      </c>
      <c r="D366" s="8">
        <v>42.14</v>
      </c>
      <c r="E366" s="8">
        <v>46.81</v>
      </c>
      <c r="F366" s="8">
        <v>39.75</v>
      </c>
      <c r="G366" s="10">
        <v>131948800</v>
      </c>
    </row>
    <row r="367" spans="1:7" x14ac:dyDescent="0.2">
      <c r="A367" s="9">
        <v>44835</v>
      </c>
      <c r="B367" s="8">
        <v>44.14</v>
      </c>
      <c r="C367" s="8">
        <v>46.6</v>
      </c>
      <c r="D367" s="8">
        <v>40.01</v>
      </c>
      <c r="E367" s="8">
        <v>44.79</v>
      </c>
      <c r="F367" s="8">
        <v>38.04</v>
      </c>
      <c r="G367" s="10">
        <v>159100400</v>
      </c>
    </row>
    <row r="368" spans="1:7" x14ac:dyDescent="0.2">
      <c r="A368" s="9">
        <v>44805</v>
      </c>
      <c r="B368" s="8">
        <v>46.94</v>
      </c>
      <c r="C368" s="8">
        <v>49.81</v>
      </c>
      <c r="D368" s="8">
        <v>42.56</v>
      </c>
      <c r="E368" s="8">
        <v>43.54</v>
      </c>
      <c r="F368" s="8">
        <v>36.979999999999997</v>
      </c>
      <c r="G368" s="10">
        <v>132125400</v>
      </c>
    </row>
    <row r="369" spans="1:7" x14ac:dyDescent="0.2">
      <c r="A369" s="9">
        <v>44774</v>
      </c>
      <c r="B369" s="8">
        <v>49.95</v>
      </c>
      <c r="C369" s="8">
        <v>52.22</v>
      </c>
      <c r="D369" s="8">
        <v>46.8</v>
      </c>
      <c r="E369" s="8">
        <v>46.84</v>
      </c>
      <c r="F369" s="8">
        <v>39.369999999999997</v>
      </c>
      <c r="G369" s="10">
        <v>94975900</v>
      </c>
    </row>
    <row r="370" spans="1:7" x14ac:dyDescent="0.2">
      <c r="A370" s="9">
        <v>44743</v>
      </c>
      <c r="B370" s="8">
        <v>47.31</v>
      </c>
      <c r="C370" s="8">
        <v>50.61</v>
      </c>
      <c r="D370" s="8">
        <v>44.68</v>
      </c>
      <c r="E370" s="8">
        <v>50.47</v>
      </c>
      <c r="F370" s="8">
        <v>42.42</v>
      </c>
      <c r="G370" s="10">
        <v>110474100</v>
      </c>
    </row>
    <row r="371" spans="1:7" x14ac:dyDescent="0.2">
      <c r="A371" s="9">
        <v>44713</v>
      </c>
      <c r="B371" s="8">
        <v>49.9</v>
      </c>
      <c r="C371" s="8">
        <v>50.4</v>
      </c>
      <c r="D371" s="8">
        <v>44.75</v>
      </c>
      <c r="E371" s="8">
        <v>47.43</v>
      </c>
      <c r="F371" s="8">
        <v>39.869999999999997</v>
      </c>
      <c r="G371" s="10">
        <v>145218600</v>
      </c>
    </row>
    <row r="372" spans="1:7" x14ac:dyDescent="0.2">
      <c r="A372" s="9">
        <v>44682</v>
      </c>
      <c r="B372" s="8">
        <v>49.2</v>
      </c>
      <c r="C372" s="8">
        <v>50.78</v>
      </c>
      <c r="D372" s="8">
        <v>44.85</v>
      </c>
      <c r="E372" s="8">
        <v>49.74</v>
      </c>
      <c r="F372" s="8">
        <v>41.38</v>
      </c>
      <c r="G372" s="10">
        <v>182420300</v>
      </c>
    </row>
    <row r="373" spans="1:7" x14ac:dyDescent="0.2">
      <c r="A373" s="9">
        <v>44652</v>
      </c>
      <c r="B373" s="8">
        <v>57</v>
      </c>
      <c r="C373" s="8">
        <v>57.5</v>
      </c>
      <c r="D373" s="8">
        <v>48.22</v>
      </c>
      <c r="E373" s="8">
        <v>48.35</v>
      </c>
      <c r="F373" s="8">
        <v>40.229999999999997</v>
      </c>
      <c r="G373" s="10">
        <v>158334900</v>
      </c>
    </row>
    <row r="374" spans="1:7" x14ac:dyDescent="0.2">
      <c r="A374" s="9">
        <v>44621</v>
      </c>
      <c r="B374" s="8">
        <v>61.28</v>
      </c>
      <c r="C374" s="8">
        <v>61.5</v>
      </c>
      <c r="D374" s="8">
        <v>56.19</v>
      </c>
      <c r="E374" s="8">
        <v>56.7</v>
      </c>
      <c r="F374" s="8">
        <v>47.17</v>
      </c>
      <c r="G374" s="10">
        <v>163980200</v>
      </c>
    </row>
    <row r="375" spans="1:7" x14ac:dyDescent="0.2">
      <c r="A375" s="9">
        <v>44593</v>
      </c>
      <c r="B375" s="8">
        <v>62.76</v>
      </c>
      <c r="C375" s="8">
        <v>66.099999999999994</v>
      </c>
      <c r="D375" s="8">
        <v>57.17</v>
      </c>
      <c r="E375" s="8">
        <v>62.22</v>
      </c>
      <c r="F375" s="8">
        <v>51.39</v>
      </c>
      <c r="G375" s="10">
        <v>113382600</v>
      </c>
    </row>
    <row r="376" spans="1:7" x14ac:dyDescent="0.2">
      <c r="A376" s="9">
        <v>44562</v>
      </c>
      <c r="B376" s="8">
        <v>59.33</v>
      </c>
      <c r="C376" s="8">
        <v>68.95</v>
      </c>
      <c r="D376" s="8">
        <v>59.3</v>
      </c>
      <c r="E376" s="8">
        <v>62.82</v>
      </c>
      <c r="F376" s="8">
        <v>51.88</v>
      </c>
      <c r="G376" s="10">
        <v>141082600</v>
      </c>
    </row>
    <row r="377" spans="1:7" x14ac:dyDescent="0.2">
      <c r="A377" s="9">
        <v>44531</v>
      </c>
      <c r="B377" s="8">
        <v>60.89</v>
      </c>
      <c r="C377" s="8">
        <v>61.42</v>
      </c>
      <c r="D377" s="8">
        <v>54.73</v>
      </c>
      <c r="E377" s="8">
        <v>58.55</v>
      </c>
      <c r="F377" s="8">
        <v>48.36</v>
      </c>
      <c r="G377" s="10">
        <v>104584300</v>
      </c>
    </row>
    <row r="378" spans="1:7" x14ac:dyDescent="0.2">
      <c r="A378" s="9">
        <v>44501</v>
      </c>
      <c r="B378" s="8">
        <v>64</v>
      </c>
      <c r="C378" s="8">
        <v>65.42</v>
      </c>
      <c r="D378" s="8">
        <v>58.8</v>
      </c>
      <c r="E378" s="8">
        <v>59.31</v>
      </c>
      <c r="F378" s="8">
        <v>48.62</v>
      </c>
      <c r="G378" s="10">
        <v>89313300</v>
      </c>
    </row>
    <row r="379" spans="1:7" x14ac:dyDescent="0.2">
      <c r="A379" s="9">
        <v>44470</v>
      </c>
      <c r="B379" s="8">
        <v>59.1</v>
      </c>
      <c r="C379" s="8">
        <v>64.92</v>
      </c>
      <c r="D379" s="8">
        <v>58.46</v>
      </c>
      <c r="E379" s="8">
        <v>63.47</v>
      </c>
      <c r="F379" s="8">
        <v>52.03</v>
      </c>
      <c r="G379" s="10">
        <v>87166100</v>
      </c>
    </row>
    <row r="380" spans="1:7" x14ac:dyDescent="0.2">
      <c r="A380" s="9">
        <v>44440</v>
      </c>
      <c r="B380" s="8">
        <v>57.4</v>
      </c>
      <c r="C380" s="8">
        <v>60.74</v>
      </c>
      <c r="D380" s="8">
        <v>52.63</v>
      </c>
      <c r="E380" s="8">
        <v>58.65</v>
      </c>
      <c r="F380" s="8">
        <v>48.08</v>
      </c>
      <c r="G380" s="10">
        <v>119053400</v>
      </c>
    </row>
    <row r="381" spans="1:7" x14ac:dyDescent="0.2">
      <c r="A381" s="9">
        <v>44409</v>
      </c>
      <c r="B381" s="8">
        <v>54.73</v>
      </c>
      <c r="C381" s="8">
        <v>58.94</v>
      </c>
      <c r="D381" s="8">
        <v>53.25</v>
      </c>
      <c r="E381" s="8">
        <v>57.06</v>
      </c>
      <c r="F381" s="8">
        <v>46.39</v>
      </c>
      <c r="G381" s="10">
        <v>87183500</v>
      </c>
    </row>
    <row r="382" spans="1:7" x14ac:dyDescent="0.2">
      <c r="A382" s="9">
        <v>44378</v>
      </c>
      <c r="B382" s="8">
        <v>55.83</v>
      </c>
      <c r="C382" s="8">
        <v>56.33</v>
      </c>
      <c r="D382" s="8">
        <v>51.87</v>
      </c>
      <c r="E382" s="8">
        <v>54.43</v>
      </c>
      <c r="F382" s="8">
        <v>44.26</v>
      </c>
      <c r="G382" s="10">
        <v>101484500</v>
      </c>
    </row>
    <row r="383" spans="1:7" x14ac:dyDescent="0.2">
      <c r="A383" s="9">
        <v>44348</v>
      </c>
      <c r="B383" s="8">
        <v>62.2</v>
      </c>
      <c r="C383" s="8">
        <v>62.59</v>
      </c>
      <c r="D383" s="8">
        <v>52.61</v>
      </c>
      <c r="E383" s="8">
        <v>55.5</v>
      </c>
      <c r="F383" s="8">
        <v>45.13</v>
      </c>
      <c r="G383" s="10">
        <v>131368100</v>
      </c>
    </row>
    <row r="384" spans="1:7" x14ac:dyDescent="0.2">
      <c r="A384" s="9">
        <v>44317</v>
      </c>
      <c r="B384" s="8">
        <v>60.01</v>
      </c>
      <c r="C384" s="8">
        <v>62.69</v>
      </c>
      <c r="D384" s="8">
        <v>58.27</v>
      </c>
      <c r="E384" s="8">
        <v>61.78</v>
      </c>
      <c r="F384" s="8">
        <v>49.85</v>
      </c>
      <c r="G384" s="10">
        <v>112079400</v>
      </c>
    </row>
    <row r="385" spans="1:7" x14ac:dyDescent="0.2">
      <c r="A385" s="9">
        <v>44287</v>
      </c>
      <c r="B385" s="8">
        <v>58.3</v>
      </c>
      <c r="C385" s="8">
        <v>60.42</v>
      </c>
      <c r="D385" s="8">
        <v>55.16</v>
      </c>
      <c r="E385" s="8">
        <v>59.31</v>
      </c>
      <c r="F385" s="8">
        <v>47.86</v>
      </c>
      <c r="G385" s="10">
        <v>108724400</v>
      </c>
    </row>
    <row r="386" spans="1:7" x14ac:dyDescent="0.2">
      <c r="A386" s="9">
        <v>44256</v>
      </c>
      <c r="B386" s="8">
        <v>58.26</v>
      </c>
      <c r="C386" s="8">
        <v>60.91</v>
      </c>
      <c r="D386" s="8">
        <v>55.28</v>
      </c>
      <c r="E386" s="8">
        <v>58.32</v>
      </c>
      <c r="F386" s="8">
        <v>47.06</v>
      </c>
      <c r="G386" s="10">
        <v>151285500</v>
      </c>
    </row>
    <row r="387" spans="1:7" x14ac:dyDescent="0.2">
      <c r="A387" s="9">
        <v>44228</v>
      </c>
      <c r="B387" s="8">
        <v>48.31</v>
      </c>
      <c r="C387" s="8">
        <v>61.26</v>
      </c>
      <c r="D387" s="8">
        <v>47.71</v>
      </c>
      <c r="E387" s="8">
        <v>56.96</v>
      </c>
      <c r="F387" s="8">
        <v>45.58</v>
      </c>
      <c r="G387" s="10">
        <v>111698400</v>
      </c>
    </row>
    <row r="388" spans="1:7" x14ac:dyDescent="0.2">
      <c r="A388" s="9">
        <v>44197</v>
      </c>
      <c r="B388" s="8">
        <v>48.25</v>
      </c>
      <c r="C388" s="8">
        <v>53.49</v>
      </c>
      <c r="D388" s="8">
        <v>46.71</v>
      </c>
      <c r="E388" s="8">
        <v>47.98</v>
      </c>
      <c r="F388" s="8">
        <v>38.39</v>
      </c>
      <c r="G388" s="10">
        <v>114817700</v>
      </c>
    </row>
    <row r="389" spans="1:7" ht="18" x14ac:dyDescent="0.2">
      <c r="A389" s="5">
        <v>44166</v>
      </c>
      <c r="B389" s="6">
        <v>47.85</v>
      </c>
      <c r="C389" s="6">
        <v>48.32</v>
      </c>
      <c r="D389" s="6">
        <v>45.44</v>
      </c>
      <c r="E389" s="6">
        <v>47.93</v>
      </c>
      <c r="F389" s="6">
        <v>38.35</v>
      </c>
      <c r="G389" s="7">
        <v>115593800</v>
      </c>
    </row>
    <row r="393" spans="1:7" x14ac:dyDescent="0.2">
      <c r="A393" s="4" t="s">
        <v>7</v>
      </c>
      <c r="B393" s="4" t="s">
        <v>8</v>
      </c>
      <c r="C393" s="4" t="s">
        <v>9</v>
      </c>
      <c r="D393" s="4" t="s">
        <v>10</v>
      </c>
      <c r="E393" s="4" t="s">
        <v>11</v>
      </c>
      <c r="F393" s="4" t="s">
        <v>12</v>
      </c>
      <c r="G393" s="4" t="s">
        <v>13</v>
      </c>
    </row>
    <row r="394" spans="1:7" ht="18" x14ac:dyDescent="0.2">
      <c r="A394" s="5">
        <v>45962</v>
      </c>
      <c r="B394" s="6">
        <v>76.739999999999995</v>
      </c>
      <c r="C394" s="6">
        <v>81.709999999999994</v>
      </c>
      <c r="D394" s="6">
        <v>75.02</v>
      </c>
      <c r="E394" s="6">
        <v>78.16</v>
      </c>
      <c r="F394" s="6">
        <v>77.75</v>
      </c>
      <c r="G394" s="7">
        <v>8090900</v>
      </c>
    </row>
    <row r="395" spans="1:7" ht="18" x14ac:dyDescent="0.2">
      <c r="A395" s="5">
        <v>45931</v>
      </c>
      <c r="B395" s="6">
        <v>86.47</v>
      </c>
      <c r="C395" s="6">
        <v>89.23</v>
      </c>
      <c r="D395" s="6">
        <v>68.61</v>
      </c>
      <c r="E395" s="6">
        <v>77.349999999999994</v>
      </c>
      <c r="F395" s="6">
        <v>76.95</v>
      </c>
      <c r="G395" s="7">
        <v>41861900</v>
      </c>
    </row>
    <row r="396" spans="1:7" ht="18" x14ac:dyDescent="0.2">
      <c r="A396" s="5">
        <v>45901</v>
      </c>
      <c r="B396" s="6">
        <v>87.87</v>
      </c>
      <c r="C396" s="6">
        <v>93.29</v>
      </c>
      <c r="D396" s="6">
        <v>84.87</v>
      </c>
      <c r="E396" s="6">
        <v>86.72</v>
      </c>
      <c r="F396" s="6">
        <v>86.27</v>
      </c>
      <c r="G396" s="7">
        <v>24006500</v>
      </c>
    </row>
    <row r="397" spans="1:7" ht="18" x14ac:dyDescent="0.2">
      <c r="A397" s="5">
        <v>45870</v>
      </c>
      <c r="B397" s="6">
        <v>75.81</v>
      </c>
      <c r="C397" s="6">
        <v>89.99</v>
      </c>
      <c r="D397" s="6">
        <v>73.58</v>
      </c>
      <c r="E397" s="6">
        <v>89.55</v>
      </c>
      <c r="F397" s="6">
        <v>88.68</v>
      </c>
      <c r="G397" s="7">
        <v>20009100</v>
      </c>
    </row>
    <row r="398" spans="1:7" ht="18" x14ac:dyDescent="0.2">
      <c r="A398" s="5">
        <v>45839</v>
      </c>
      <c r="B398" s="6">
        <v>77.77</v>
      </c>
      <c r="C398" s="6">
        <v>86.28</v>
      </c>
      <c r="D398" s="6">
        <v>77.02</v>
      </c>
      <c r="E398" s="6">
        <v>77.56</v>
      </c>
      <c r="F398" s="6">
        <v>76.81</v>
      </c>
      <c r="G398" s="7">
        <v>25232200</v>
      </c>
    </row>
    <row r="399" spans="1:7" ht="18" x14ac:dyDescent="0.2">
      <c r="A399" s="5">
        <v>45809</v>
      </c>
      <c r="B399" s="6">
        <v>71.930000000000007</v>
      </c>
      <c r="C399" s="6">
        <v>78.849999999999994</v>
      </c>
      <c r="D399" s="6">
        <v>70.260000000000005</v>
      </c>
      <c r="E399" s="6">
        <v>77.98</v>
      </c>
      <c r="F399" s="6">
        <v>77.22</v>
      </c>
      <c r="G399" s="7">
        <v>14434400</v>
      </c>
    </row>
    <row r="400" spans="1:7" ht="18" x14ac:dyDescent="0.2">
      <c r="A400" s="5">
        <v>45778</v>
      </c>
      <c r="B400" s="6">
        <v>69.819999999999993</v>
      </c>
      <c r="C400" s="6">
        <v>80.989999999999995</v>
      </c>
      <c r="D400" s="6">
        <v>69.33</v>
      </c>
      <c r="E400" s="6">
        <v>72.41</v>
      </c>
      <c r="F400" s="6">
        <v>71.37</v>
      </c>
      <c r="G400" s="7">
        <v>18234100</v>
      </c>
    </row>
    <row r="401" spans="1:7" ht="18" x14ac:dyDescent="0.2">
      <c r="A401" s="5">
        <v>45748</v>
      </c>
      <c r="B401" s="6">
        <v>76.010000000000005</v>
      </c>
      <c r="C401" s="6">
        <v>77.73</v>
      </c>
      <c r="D401" s="6">
        <v>57.05</v>
      </c>
      <c r="E401" s="6">
        <v>69.709999999999994</v>
      </c>
      <c r="F401" s="6">
        <v>68.709999999999994</v>
      </c>
      <c r="G401" s="7">
        <v>34232800</v>
      </c>
    </row>
    <row r="402" spans="1:7" ht="18" x14ac:dyDescent="0.2">
      <c r="A402" s="5">
        <v>45717</v>
      </c>
      <c r="B402" s="6">
        <v>86.73</v>
      </c>
      <c r="C402" s="6">
        <v>87.68</v>
      </c>
      <c r="D402" s="6">
        <v>71.58</v>
      </c>
      <c r="E402" s="6">
        <v>76.83</v>
      </c>
      <c r="F402" s="6">
        <v>75.72</v>
      </c>
      <c r="G402" s="7">
        <v>23343300</v>
      </c>
    </row>
    <row r="403" spans="1:7" ht="18" x14ac:dyDescent="0.2">
      <c r="A403" s="5">
        <v>45689</v>
      </c>
      <c r="B403" s="6">
        <v>85.01</v>
      </c>
      <c r="C403" s="6">
        <v>93.81</v>
      </c>
      <c r="D403" s="6">
        <v>83.95</v>
      </c>
      <c r="E403" s="6">
        <v>86.92</v>
      </c>
      <c r="F403" s="6">
        <v>85.3</v>
      </c>
      <c r="G403" s="7">
        <v>20062400</v>
      </c>
    </row>
    <row r="404" spans="1:7" ht="18" x14ac:dyDescent="0.2">
      <c r="A404" s="5">
        <v>45658</v>
      </c>
      <c r="B404" s="6">
        <v>84.21</v>
      </c>
      <c r="C404" s="6">
        <v>94.4</v>
      </c>
      <c r="D404" s="6">
        <v>77.12</v>
      </c>
      <c r="E404" s="6">
        <v>87.87</v>
      </c>
      <c r="F404" s="6">
        <v>86.23</v>
      </c>
      <c r="G404" s="7">
        <v>26912000</v>
      </c>
    </row>
    <row r="405" spans="1:7" ht="18" x14ac:dyDescent="0.2">
      <c r="A405" s="5">
        <v>45627</v>
      </c>
      <c r="B405" s="6">
        <v>94.2</v>
      </c>
      <c r="C405" s="6">
        <v>95</v>
      </c>
      <c r="D405" s="6">
        <v>82.01</v>
      </c>
      <c r="E405" s="6">
        <v>83.54</v>
      </c>
      <c r="F405" s="6">
        <v>81.98</v>
      </c>
      <c r="G405" s="7">
        <v>19616500</v>
      </c>
    </row>
    <row r="406" spans="1:7" ht="18" x14ac:dyDescent="0.2">
      <c r="A406" s="5">
        <v>45597</v>
      </c>
      <c r="B406" s="6">
        <v>84.19</v>
      </c>
      <c r="C406" s="6">
        <v>98.1</v>
      </c>
      <c r="D406" s="6">
        <v>80.88</v>
      </c>
      <c r="E406" s="6">
        <v>93.61</v>
      </c>
      <c r="F406" s="6">
        <v>91.48</v>
      </c>
      <c r="G406" s="7">
        <v>20901100</v>
      </c>
    </row>
    <row r="407" spans="1:7" ht="18" x14ac:dyDescent="0.2">
      <c r="A407" s="5">
        <v>45566</v>
      </c>
      <c r="B407" s="6">
        <v>85.03</v>
      </c>
      <c r="C407" s="6">
        <v>94.28</v>
      </c>
      <c r="D407" s="6">
        <v>80.28</v>
      </c>
      <c r="E407" s="6">
        <v>83.21</v>
      </c>
      <c r="F407" s="6">
        <v>81.319999999999993</v>
      </c>
      <c r="G407" s="7">
        <v>31694600</v>
      </c>
    </row>
    <row r="408" spans="1:7" ht="18" x14ac:dyDescent="0.2">
      <c r="A408" s="5">
        <v>45536</v>
      </c>
      <c r="B408" s="6">
        <v>80.489999999999995</v>
      </c>
      <c r="C408" s="6">
        <v>88.92</v>
      </c>
      <c r="D408" s="6">
        <v>77.260000000000005</v>
      </c>
      <c r="E408" s="6">
        <v>86.49</v>
      </c>
      <c r="F408" s="6">
        <v>84.52</v>
      </c>
      <c r="G408" s="7">
        <v>44643200</v>
      </c>
    </row>
    <row r="409" spans="1:7" ht="18" x14ac:dyDescent="0.2">
      <c r="A409" s="5">
        <v>45505</v>
      </c>
      <c r="B409" s="6">
        <v>80.069999999999993</v>
      </c>
      <c r="C409" s="6">
        <v>83.23</v>
      </c>
      <c r="D409" s="6">
        <v>67.08</v>
      </c>
      <c r="E409" s="6">
        <v>81.680000000000007</v>
      </c>
      <c r="F409" s="6">
        <v>79.44</v>
      </c>
      <c r="G409" s="7">
        <v>20530200</v>
      </c>
    </row>
    <row r="410" spans="1:7" ht="18" x14ac:dyDescent="0.2">
      <c r="A410" s="5">
        <v>45474</v>
      </c>
      <c r="B410" s="6">
        <v>62.45</v>
      </c>
      <c r="C410" s="6">
        <v>82.48</v>
      </c>
      <c r="D410" s="6">
        <v>60.26</v>
      </c>
      <c r="E410" s="6">
        <v>80.459999999999994</v>
      </c>
      <c r="F410" s="6">
        <v>78.25</v>
      </c>
      <c r="G410" s="7">
        <v>29315800</v>
      </c>
    </row>
    <row r="411" spans="1:7" ht="18" x14ac:dyDescent="0.2">
      <c r="A411" s="5">
        <v>45444</v>
      </c>
      <c r="B411" s="6">
        <v>63.47</v>
      </c>
      <c r="C411" s="6">
        <v>63.5</v>
      </c>
      <c r="D411" s="6">
        <v>56.7</v>
      </c>
      <c r="E411" s="6">
        <v>62.82</v>
      </c>
      <c r="F411" s="6">
        <v>61.1</v>
      </c>
      <c r="G411" s="7">
        <v>16743000</v>
      </c>
    </row>
    <row r="412" spans="1:7" ht="18" x14ac:dyDescent="0.2">
      <c r="A412" s="5">
        <v>45413</v>
      </c>
      <c r="B412" s="6">
        <v>57.54</v>
      </c>
      <c r="C412" s="6">
        <v>65.790000000000006</v>
      </c>
      <c r="D412" s="6">
        <v>56.77</v>
      </c>
      <c r="E412" s="6">
        <v>63.03</v>
      </c>
      <c r="F412" s="6">
        <v>60.95</v>
      </c>
      <c r="G412" s="7">
        <v>16461300</v>
      </c>
    </row>
    <row r="413" spans="1:7" ht="18" x14ac:dyDescent="0.2">
      <c r="A413" s="5">
        <v>45383</v>
      </c>
      <c r="B413" s="6">
        <v>64.12</v>
      </c>
      <c r="C413" s="6">
        <v>64.2</v>
      </c>
      <c r="D413" s="6">
        <v>53.75</v>
      </c>
      <c r="E413" s="6">
        <v>56.83</v>
      </c>
      <c r="F413" s="6">
        <v>54.95</v>
      </c>
      <c r="G413" s="7">
        <v>22938900</v>
      </c>
    </row>
    <row r="414" spans="1:7" ht="18" x14ac:dyDescent="0.2">
      <c r="A414" s="5">
        <v>45352</v>
      </c>
      <c r="B414" s="6">
        <v>57.04</v>
      </c>
      <c r="C414" s="6">
        <v>64.650000000000006</v>
      </c>
      <c r="D414" s="6">
        <v>54.55</v>
      </c>
      <c r="E414" s="6">
        <v>64.19</v>
      </c>
      <c r="F414" s="6">
        <v>62.07</v>
      </c>
      <c r="G414" s="7">
        <v>29214000</v>
      </c>
    </row>
    <row r="415" spans="1:7" ht="18" x14ac:dyDescent="0.2">
      <c r="A415" s="5">
        <v>45323</v>
      </c>
      <c r="B415" s="6">
        <v>64.62</v>
      </c>
      <c r="C415" s="6">
        <v>65.05</v>
      </c>
      <c r="D415" s="6">
        <v>55.03</v>
      </c>
      <c r="E415" s="6">
        <v>57.73</v>
      </c>
      <c r="F415" s="6">
        <v>55.48</v>
      </c>
      <c r="G415" s="7">
        <v>35969000</v>
      </c>
    </row>
    <row r="416" spans="1:7" ht="18" x14ac:dyDescent="0.2">
      <c r="A416" s="5">
        <v>45292</v>
      </c>
      <c r="B416" s="6">
        <v>65.099999999999994</v>
      </c>
      <c r="C416" s="6">
        <v>70.23</v>
      </c>
      <c r="D416" s="6">
        <v>60.54</v>
      </c>
      <c r="E416" s="6">
        <v>63.96</v>
      </c>
      <c r="F416" s="6">
        <v>61.47</v>
      </c>
      <c r="G416" s="7">
        <v>29918600</v>
      </c>
    </row>
    <row r="417" spans="1:7" ht="18" x14ac:dyDescent="0.2">
      <c r="A417" s="5">
        <v>45261</v>
      </c>
      <c r="B417" s="6">
        <v>51.22</v>
      </c>
      <c r="C417" s="6">
        <v>67.599999999999994</v>
      </c>
      <c r="D417" s="6">
        <v>50.63</v>
      </c>
      <c r="E417" s="6">
        <v>65.790000000000006</v>
      </c>
      <c r="F417" s="6">
        <v>63.22</v>
      </c>
      <c r="G417" s="7">
        <v>30684500</v>
      </c>
    </row>
    <row r="418" spans="1:7" ht="18" x14ac:dyDescent="0.2">
      <c r="A418" s="5">
        <v>45231</v>
      </c>
      <c r="B418" s="6">
        <v>41</v>
      </c>
      <c r="C418" s="6">
        <v>52.16</v>
      </c>
      <c r="D418" s="6">
        <v>40.15</v>
      </c>
      <c r="E418" s="6">
        <v>51.22</v>
      </c>
      <c r="F418" s="6">
        <v>48.85</v>
      </c>
      <c r="G418" s="7">
        <v>27821500</v>
      </c>
    </row>
    <row r="419" spans="1:7" ht="18" x14ac:dyDescent="0.2">
      <c r="A419" s="5">
        <v>45200</v>
      </c>
      <c r="B419" s="6">
        <v>45.73</v>
      </c>
      <c r="C419" s="6">
        <v>48.41</v>
      </c>
      <c r="D419" s="6">
        <v>38.81</v>
      </c>
      <c r="E419" s="6">
        <v>41.1</v>
      </c>
      <c r="F419" s="6">
        <v>39.200000000000003</v>
      </c>
      <c r="G419" s="7">
        <v>42262400</v>
      </c>
    </row>
    <row r="420" spans="1:7" ht="18" x14ac:dyDescent="0.2">
      <c r="A420" s="5">
        <v>45170</v>
      </c>
      <c r="B420" s="6">
        <v>50.78</v>
      </c>
      <c r="C420" s="6">
        <v>51.4</v>
      </c>
      <c r="D420" s="6">
        <v>43.36</v>
      </c>
      <c r="E420" s="6">
        <v>45.97</v>
      </c>
      <c r="F420" s="6">
        <v>43.84</v>
      </c>
      <c r="G420" s="7">
        <v>29559800</v>
      </c>
    </row>
    <row r="421" spans="1:7" ht="18" x14ac:dyDescent="0.2">
      <c r="A421" s="5">
        <v>45139</v>
      </c>
      <c r="B421" s="6">
        <v>51.5</v>
      </c>
      <c r="C421" s="6">
        <v>53.87</v>
      </c>
      <c r="D421" s="6">
        <v>46.15</v>
      </c>
      <c r="E421" s="6">
        <v>50.01</v>
      </c>
      <c r="F421" s="6">
        <v>47.36</v>
      </c>
      <c r="G421" s="7">
        <v>36151700</v>
      </c>
    </row>
    <row r="422" spans="1:7" ht="18" x14ac:dyDescent="0.2">
      <c r="A422" s="5">
        <v>45108</v>
      </c>
      <c r="B422" s="6">
        <v>36.950000000000003</v>
      </c>
      <c r="C422" s="6">
        <v>53.66</v>
      </c>
      <c r="D422" s="6">
        <v>35.67</v>
      </c>
      <c r="E422" s="6">
        <v>51.95</v>
      </c>
      <c r="F422" s="6">
        <v>49.2</v>
      </c>
      <c r="G422" s="7">
        <v>64549600</v>
      </c>
    </row>
    <row r="423" spans="1:7" ht="18" x14ac:dyDescent="0.2">
      <c r="A423" s="5">
        <v>45078</v>
      </c>
      <c r="B423" s="6">
        <v>34.39</v>
      </c>
      <c r="C423" s="6">
        <v>41.88</v>
      </c>
      <c r="D423" s="6">
        <v>33.49</v>
      </c>
      <c r="E423" s="6">
        <v>36.47</v>
      </c>
      <c r="F423" s="6">
        <v>34.54</v>
      </c>
      <c r="G423" s="7">
        <v>64739000</v>
      </c>
    </row>
    <row r="424" spans="1:7" ht="18" x14ac:dyDescent="0.2">
      <c r="A424" s="5">
        <v>45047</v>
      </c>
      <c r="B424" s="6">
        <v>37.549999999999997</v>
      </c>
      <c r="C424" s="6">
        <v>39.28</v>
      </c>
      <c r="D424" s="6">
        <v>11.35</v>
      </c>
      <c r="E424" s="6">
        <v>33.9</v>
      </c>
      <c r="F424" s="6">
        <v>31.68</v>
      </c>
      <c r="G424" s="7">
        <v>269192000</v>
      </c>
    </row>
    <row r="425" spans="1:7" ht="18" x14ac:dyDescent="0.2">
      <c r="A425" s="5">
        <v>45017</v>
      </c>
      <c r="B425" s="6">
        <v>35.49</v>
      </c>
      <c r="C425" s="6">
        <v>41.51</v>
      </c>
      <c r="D425" s="6">
        <v>27.02</v>
      </c>
      <c r="E425" s="6">
        <v>37.119999999999997</v>
      </c>
      <c r="F425" s="6">
        <v>34.69</v>
      </c>
      <c r="G425" s="7">
        <v>113439400</v>
      </c>
    </row>
    <row r="426" spans="1:7" ht="18" x14ac:dyDescent="0.2">
      <c r="A426" s="5">
        <v>44986</v>
      </c>
      <c r="B426" s="6">
        <v>73.45</v>
      </c>
      <c r="C426" s="6">
        <v>76.900000000000006</v>
      </c>
      <c r="D426" s="6">
        <v>7.46</v>
      </c>
      <c r="E426" s="6">
        <v>35.54</v>
      </c>
      <c r="F426" s="6">
        <v>33.22</v>
      </c>
      <c r="G426" s="7">
        <v>344007000</v>
      </c>
    </row>
    <row r="427" spans="1:7" ht="18" x14ac:dyDescent="0.2">
      <c r="A427" s="5">
        <v>44958</v>
      </c>
      <c r="B427" s="6">
        <v>74.849999999999994</v>
      </c>
      <c r="C427" s="6">
        <v>81.17</v>
      </c>
      <c r="D427" s="6">
        <v>71.400000000000006</v>
      </c>
      <c r="E427" s="6">
        <v>74.239999999999995</v>
      </c>
      <c r="F427" s="6">
        <v>69.06</v>
      </c>
      <c r="G427" s="7">
        <v>16645300</v>
      </c>
    </row>
    <row r="428" spans="1:7" ht="18" x14ac:dyDescent="0.2">
      <c r="A428" s="5">
        <v>44927</v>
      </c>
      <c r="B428" s="6">
        <v>59.87</v>
      </c>
      <c r="C428" s="6">
        <v>75.540000000000006</v>
      </c>
      <c r="D428" s="6">
        <v>58.35</v>
      </c>
      <c r="E428" s="6">
        <v>75.37</v>
      </c>
      <c r="F428" s="6">
        <v>70.11</v>
      </c>
      <c r="G428" s="7">
        <v>20053700</v>
      </c>
    </row>
    <row r="429" spans="1:7" ht="18" x14ac:dyDescent="0.2">
      <c r="A429" s="5">
        <v>44896</v>
      </c>
      <c r="B429" s="6">
        <v>68.569999999999993</v>
      </c>
      <c r="C429" s="6">
        <v>69.680000000000007</v>
      </c>
      <c r="D429" s="6">
        <v>55.81</v>
      </c>
      <c r="E429" s="6">
        <v>59.56</v>
      </c>
      <c r="F429" s="6">
        <v>55.4</v>
      </c>
      <c r="G429" s="7">
        <v>20406400</v>
      </c>
    </row>
    <row r="430" spans="1:7" ht="18" x14ac:dyDescent="0.2">
      <c r="A430" s="5">
        <v>44866</v>
      </c>
      <c r="B430" s="6">
        <v>68.09</v>
      </c>
      <c r="C430" s="6">
        <v>78.14</v>
      </c>
      <c r="D430" s="6">
        <v>62.84</v>
      </c>
      <c r="E430" s="6">
        <v>68.540000000000006</v>
      </c>
      <c r="F430" s="6">
        <v>63.44</v>
      </c>
      <c r="G430" s="7">
        <v>14758800</v>
      </c>
    </row>
    <row r="431" spans="1:7" ht="18" x14ac:dyDescent="0.2">
      <c r="A431" s="5">
        <v>44835</v>
      </c>
      <c r="B431" s="6">
        <v>66.83</v>
      </c>
      <c r="C431" s="6">
        <v>71.900000000000006</v>
      </c>
      <c r="D431" s="6">
        <v>54.86</v>
      </c>
      <c r="E431" s="6">
        <v>67.17</v>
      </c>
      <c r="F431" s="6">
        <v>62.17</v>
      </c>
      <c r="G431" s="7">
        <v>23454800</v>
      </c>
    </row>
    <row r="432" spans="1:7" ht="18" x14ac:dyDescent="0.2">
      <c r="A432" s="5">
        <v>44805</v>
      </c>
      <c r="B432" s="6">
        <v>76.319999999999993</v>
      </c>
      <c r="C432" s="6">
        <v>81.010000000000005</v>
      </c>
      <c r="D432" s="6">
        <v>64.709999999999994</v>
      </c>
      <c r="E432" s="6">
        <v>65.739999999999995</v>
      </c>
      <c r="F432" s="6">
        <v>60.85</v>
      </c>
      <c r="G432" s="7">
        <v>16010700</v>
      </c>
    </row>
    <row r="433" spans="1:7" ht="18" x14ac:dyDescent="0.2">
      <c r="A433" s="5">
        <v>44774</v>
      </c>
      <c r="B433" s="6">
        <v>75.930000000000007</v>
      </c>
      <c r="C433" s="6">
        <v>86.87</v>
      </c>
      <c r="D433" s="6">
        <v>74.06</v>
      </c>
      <c r="E433" s="6">
        <v>76.72</v>
      </c>
      <c r="F433" s="6">
        <v>70.7</v>
      </c>
      <c r="G433" s="7">
        <v>10674700</v>
      </c>
    </row>
    <row r="434" spans="1:7" ht="18" x14ac:dyDescent="0.2">
      <c r="A434" s="5">
        <v>44743</v>
      </c>
      <c r="B434" s="6">
        <v>70</v>
      </c>
      <c r="C434" s="6">
        <v>79.67</v>
      </c>
      <c r="D434" s="6">
        <v>68.41</v>
      </c>
      <c r="E434" s="6">
        <v>76.38</v>
      </c>
      <c r="F434" s="6">
        <v>70.39</v>
      </c>
      <c r="G434" s="7">
        <v>12881600</v>
      </c>
    </row>
    <row r="435" spans="1:7" ht="18" x14ac:dyDescent="0.2">
      <c r="A435" s="5">
        <v>44713</v>
      </c>
      <c r="B435" s="6">
        <v>81.790000000000006</v>
      </c>
      <c r="C435" s="6">
        <v>83.22</v>
      </c>
      <c r="D435" s="6">
        <v>68.42</v>
      </c>
      <c r="E435" s="6">
        <v>70.599999999999994</v>
      </c>
      <c r="F435" s="6">
        <v>65.06</v>
      </c>
      <c r="G435" s="7">
        <v>15172000</v>
      </c>
    </row>
    <row r="436" spans="1:7" ht="18" x14ac:dyDescent="0.2">
      <c r="A436" s="5">
        <v>44682</v>
      </c>
      <c r="B436" s="6">
        <v>78.31</v>
      </c>
      <c r="C436" s="6">
        <v>83.39</v>
      </c>
      <c r="D436" s="6">
        <v>71.680000000000007</v>
      </c>
      <c r="E436" s="6">
        <v>81.37</v>
      </c>
      <c r="F436" s="6">
        <v>74.63</v>
      </c>
      <c r="G436" s="7">
        <v>13764100</v>
      </c>
    </row>
    <row r="437" spans="1:7" ht="18" x14ac:dyDescent="0.2">
      <c r="A437" s="5">
        <v>44652</v>
      </c>
      <c r="B437" s="6">
        <v>84.14</v>
      </c>
      <c r="C437" s="6">
        <v>84.76</v>
      </c>
      <c r="D437" s="6">
        <v>73.31</v>
      </c>
      <c r="E437" s="6">
        <v>76.11</v>
      </c>
      <c r="F437" s="6">
        <v>69.8</v>
      </c>
      <c r="G437" s="7">
        <v>21129700</v>
      </c>
    </row>
    <row r="438" spans="1:7" ht="18" x14ac:dyDescent="0.2">
      <c r="A438" s="5">
        <v>44621</v>
      </c>
      <c r="B438" s="6">
        <v>92.21</v>
      </c>
      <c r="C438" s="6">
        <v>93.49</v>
      </c>
      <c r="D438" s="6">
        <v>76.16</v>
      </c>
      <c r="E438" s="6">
        <v>82.82</v>
      </c>
      <c r="F438" s="6">
        <v>75.959999999999994</v>
      </c>
      <c r="G438" s="7">
        <v>23163600</v>
      </c>
    </row>
    <row r="439" spans="1:7" ht="18" x14ac:dyDescent="0.2">
      <c r="A439" s="5">
        <v>44593</v>
      </c>
      <c r="B439" s="6">
        <v>99.97</v>
      </c>
      <c r="C439" s="6">
        <v>102.97</v>
      </c>
      <c r="D439" s="6">
        <v>84.71</v>
      </c>
      <c r="E439" s="6">
        <v>93.74</v>
      </c>
      <c r="F439" s="6">
        <v>85.66</v>
      </c>
      <c r="G439" s="7">
        <v>17723300</v>
      </c>
    </row>
    <row r="440" spans="1:7" ht="18" x14ac:dyDescent="0.2">
      <c r="A440" s="5">
        <v>44562</v>
      </c>
      <c r="B440" s="6">
        <v>108.26</v>
      </c>
      <c r="C440" s="6">
        <v>124.93</v>
      </c>
      <c r="D440" s="6">
        <v>93.42</v>
      </c>
      <c r="E440" s="6">
        <v>99.19</v>
      </c>
      <c r="F440" s="6">
        <v>90.64</v>
      </c>
      <c r="G440" s="7">
        <v>21255200</v>
      </c>
    </row>
    <row r="441" spans="1:7" ht="18" x14ac:dyDescent="0.2">
      <c r="A441" s="5">
        <v>44531</v>
      </c>
      <c r="B441" s="6">
        <v>112.51</v>
      </c>
      <c r="C441" s="6">
        <v>114.8</v>
      </c>
      <c r="D441" s="6">
        <v>96.82</v>
      </c>
      <c r="E441" s="6">
        <v>107.65</v>
      </c>
      <c r="F441" s="6">
        <v>98.38</v>
      </c>
      <c r="G441" s="7">
        <v>17500600</v>
      </c>
    </row>
    <row r="442" spans="1:7" ht="18" x14ac:dyDescent="0.2">
      <c r="A442" s="5">
        <v>44501</v>
      </c>
      <c r="B442" s="6">
        <v>117.03</v>
      </c>
      <c r="C442" s="6">
        <v>123.07</v>
      </c>
      <c r="D442" s="6">
        <v>108.83</v>
      </c>
      <c r="E442" s="6">
        <v>109.78</v>
      </c>
      <c r="F442" s="6">
        <v>100.02</v>
      </c>
      <c r="G442" s="7">
        <v>12253100</v>
      </c>
    </row>
    <row r="443" spans="1:7" ht="18" x14ac:dyDescent="0.2">
      <c r="A443" s="5">
        <v>44470</v>
      </c>
      <c r="B443" s="6">
        <v>109.03</v>
      </c>
      <c r="C443" s="6">
        <v>124.88</v>
      </c>
      <c r="D443" s="6">
        <v>104.56</v>
      </c>
      <c r="E443" s="6">
        <v>116.09</v>
      </c>
      <c r="F443" s="6">
        <v>105.77</v>
      </c>
      <c r="G443" s="7">
        <v>14451600</v>
      </c>
    </row>
    <row r="444" spans="1:7" ht="18" x14ac:dyDescent="0.2">
      <c r="A444" s="5">
        <v>44440</v>
      </c>
      <c r="B444" s="6">
        <v>98.07</v>
      </c>
      <c r="C444" s="6">
        <v>110.51</v>
      </c>
      <c r="D444" s="6">
        <v>94.18</v>
      </c>
      <c r="E444" s="6">
        <v>108.82</v>
      </c>
      <c r="F444" s="6">
        <v>99.15</v>
      </c>
      <c r="G444" s="7">
        <v>12014700</v>
      </c>
    </row>
    <row r="445" spans="1:7" ht="18" x14ac:dyDescent="0.2">
      <c r="A445" s="5">
        <v>44409</v>
      </c>
      <c r="B445" s="6">
        <v>93.48</v>
      </c>
      <c r="C445" s="6">
        <v>102.97</v>
      </c>
      <c r="D445" s="6">
        <v>90.09</v>
      </c>
      <c r="E445" s="6">
        <v>97.56</v>
      </c>
      <c r="F445" s="6">
        <v>88.58</v>
      </c>
      <c r="G445" s="7">
        <v>11457000</v>
      </c>
    </row>
    <row r="446" spans="1:7" ht="18" x14ac:dyDescent="0.2">
      <c r="A446" s="5">
        <v>44378</v>
      </c>
      <c r="B446" s="6">
        <v>93.6</v>
      </c>
      <c r="C446" s="6">
        <v>101</v>
      </c>
      <c r="D446" s="6">
        <v>89.69</v>
      </c>
      <c r="E446" s="6">
        <v>92.82</v>
      </c>
      <c r="F446" s="6">
        <v>84.28</v>
      </c>
      <c r="G446" s="7">
        <v>14184100</v>
      </c>
    </row>
    <row r="447" spans="1:7" ht="18" x14ac:dyDescent="0.2">
      <c r="A447" s="5">
        <v>44348</v>
      </c>
      <c r="B447" s="6">
        <v>101.09</v>
      </c>
      <c r="C447" s="6">
        <v>103.92</v>
      </c>
      <c r="D447" s="6">
        <v>87.77</v>
      </c>
      <c r="E447" s="6">
        <v>92.85</v>
      </c>
      <c r="F447" s="6">
        <v>84.31</v>
      </c>
      <c r="G447" s="7">
        <v>19178700</v>
      </c>
    </row>
    <row r="448" spans="1:7" ht="18" x14ac:dyDescent="0.2">
      <c r="A448" s="5">
        <v>44317</v>
      </c>
      <c r="B448" s="6">
        <v>106.67</v>
      </c>
      <c r="C448" s="6">
        <v>108.91</v>
      </c>
      <c r="D448" s="6">
        <v>95.16</v>
      </c>
      <c r="E448" s="6">
        <v>100.01</v>
      </c>
      <c r="F448" s="6">
        <v>90.58</v>
      </c>
      <c r="G448" s="7">
        <v>13804600</v>
      </c>
    </row>
    <row r="449" spans="1:7" ht="18" x14ac:dyDescent="0.2">
      <c r="A449" s="5">
        <v>44287</v>
      </c>
      <c r="B449" s="6">
        <v>94.47</v>
      </c>
      <c r="C449" s="6">
        <v>109.84</v>
      </c>
      <c r="D449" s="6">
        <v>89.9</v>
      </c>
      <c r="E449" s="6">
        <v>105.07</v>
      </c>
      <c r="F449" s="6">
        <v>95.17</v>
      </c>
      <c r="G449" s="7">
        <v>15353000</v>
      </c>
    </row>
    <row r="450" spans="1:7" ht="18" x14ac:dyDescent="0.2">
      <c r="A450" s="5">
        <v>44256</v>
      </c>
      <c r="B450" s="6">
        <v>94.03</v>
      </c>
      <c r="C450" s="6">
        <v>103.34</v>
      </c>
      <c r="D450" s="6">
        <v>90.3</v>
      </c>
      <c r="E450" s="6">
        <v>94.44</v>
      </c>
      <c r="F450" s="6">
        <v>85.54</v>
      </c>
      <c r="G450" s="7">
        <v>19143200</v>
      </c>
    </row>
    <row r="451" spans="1:7" ht="18" x14ac:dyDescent="0.2">
      <c r="A451" s="5">
        <v>44228</v>
      </c>
      <c r="B451" s="6">
        <v>68.73</v>
      </c>
      <c r="C451" s="6">
        <v>99.39</v>
      </c>
      <c r="D451" s="6">
        <v>67.91</v>
      </c>
      <c r="E451" s="6">
        <v>91.51</v>
      </c>
      <c r="F451" s="6">
        <v>82.63</v>
      </c>
      <c r="G451" s="7">
        <v>16004900</v>
      </c>
    </row>
    <row r="452" spans="1:7" ht="18" x14ac:dyDescent="0.2">
      <c r="A452" s="5">
        <v>44197</v>
      </c>
      <c r="B452" s="6">
        <v>60.7</v>
      </c>
      <c r="C452" s="6">
        <v>73.59</v>
      </c>
      <c r="D452" s="6">
        <v>57.98</v>
      </c>
      <c r="E452" s="6">
        <v>68.180000000000007</v>
      </c>
      <c r="F452" s="6">
        <v>61.57</v>
      </c>
      <c r="G452" s="7">
        <v>15622700</v>
      </c>
    </row>
    <row r="453" spans="1:7" ht="18" x14ac:dyDescent="0.2">
      <c r="A453" s="5">
        <v>44166</v>
      </c>
      <c r="B453" s="6">
        <v>53.01</v>
      </c>
      <c r="C453" s="6">
        <v>61.23</v>
      </c>
      <c r="D453" s="6">
        <v>51.29</v>
      </c>
      <c r="E453" s="6">
        <v>59.95</v>
      </c>
      <c r="F453" s="6">
        <v>54.14</v>
      </c>
      <c r="G453" s="7">
        <v>15514800</v>
      </c>
    </row>
    <row r="457" spans="1:7" x14ac:dyDescent="0.2">
      <c r="A457" s="8" t="s">
        <v>7</v>
      </c>
      <c r="B457" s="8" t="s">
        <v>8</v>
      </c>
      <c r="C457" s="8" t="s">
        <v>9</v>
      </c>
      <c r="D457" s="8" t="s">
        <v>10</v>
      </c>
      <c r="E457" s="8" t="s">
        <v>11</v>
      </c>
      <c r="F457" s="8" t="s">
        <v>12</v>
      </c>
      <c r="G457" s="8" t="s">
        <v>13</v>
      </c>
    </row>
    <row r="458" spans="1:7" x14ac:dyDescent="0.2">
      <c r="A458" s="9">
        <v>45962</v>
      </c>
      <c r="B458" s="8">
        <v>51.85</v>
      </c>
      <c r="C458" s="8">
        <v>53.76</v>
      </c>
      <c r="D458" s="8">
        <v>50.04</v>
      </c>
      <c r="E458" s="8">
        <v>51.02</v>
      </c>
      <c r="F458" s="8">
        <v>50.58</v>
      </c>
      <c r="G458" s="10">
        <v>13929800</v>
      </c>
    </row>
    <row r="459" spans="1:7" x14ac:dyDescent="0.2">
      <c r="A459" s="9">
        <v>45931</v>
      </c>
      <c r="B459" s="8">
        <v>56.44</v>
      </c>
      <c r="C459" s="8">
        <v>58.54</v>
      </c>
      <c r="D459" s="8">
        <v>46.19</v>
      </c>
      <c r="E459" s="8">
        <v>52.11</v>
      </c>
      <c r="F459" s="8">
        <v>51.66</v>
      </c>
      <c r="G459" s="10">
        <v>59493100</v>
      </c>
    </row>
    <row r="460" spans="1:7" x14ac:dyDescent="0.2">
      <c r="A460" s="9">
        <v>45901</v>
      </c>
      <c r="B460" s="8">
        <v>57.11</v>
      </c>
      <c r="C460" s="8">
        <v>59.4</v>
      </c>
      <c r="D460" s="8">
        <v>55.42</v>
      </c>
      <c r="E460" s="8">
        <v>56.58</v>
      </c>
      <c r="F460" s="8">
        <v>56.09</v>
      </c>
      <c r="G460" s="10">
        <v>31808100</v>
      </c>
    </row>
    <row r="461" spans="1:7" x14ac:dyDescent="0.2">
      <c r="A461" s="9">
        <v>45870</v>
      </c>
      <c r="B461" s="8">
        <v>52.45</v>
      </c>
      <c r="C461" s="8">
        <v>58.46</v>
      </c>
      <c r="D461" s="8">
        <v>50.66</v>
      </c>
      <c r="E461" s="8">
        <v>58.01</v>
      </c>
      <c r="F461" s="8">
        <v>57.03</v>
      </c>
      <c r="G461" s="10">
        <v>30181000</v>
      </c>
    </row>
    <row r="462" spans="1:7" x14ac:dyDescent="0.2">
      <c r="A462" s="9">
        <v>45839</v>
      </c>
      <c r="B462" s="8">
        <v>51.75</v>
      </c>
      <c r="C462" s="8">
        <v>58.05</v>
      </c>
      <c r="D462" s="8">
        <v>51.36</v>
      </c>
      <c r="E462" s="8">
        <v>53.62</v>
      </c>
      <c r="F462" s="8">
        <v>52.72</v>
      </c>
      <c r="G462" s="10">
        <v>35446200</v>
      </c>
    </row>
    <row r="463" spans="1:7" x14ac:dyDescent="0.2">
      <c r="A463" s="9">
        <v>45809</v>
      </c>
      <c r="B463" s="8">
        <v>47.24</v>
      </c>
      <c r="C463" s="8">
        <v>52.32</v>
      </c>
      <c r="D463" s="8">
        <v>46.09</v>
      </c>
      <c r="E463" s="8">
        <v>51.94</v>
      </c>
      <c r="F463" s="8">
        <v>51.06</v>
      </c>
      <c r="G463" s="10">
        <v>23390700</v>
      </c>
    </row>
    <row r="464" spans="1:7" x14ac:dyDescent="0.2">
      <c r="A464" s="9">
        <v>45778</v>
      </c>
      <c r="B464" s="8">
        <v>44.94</v>
      </c>
      <c r="C464" s="8">
        <v>50.21</v>
      </c>
      <c r="D464" s="8">
        <v>44.55</v>
      </c>
      <c r="E464" s="8">
        <v>47.36</v>
      </c>
      <c r="F464" s="8">
        <v>46.16</v>
      </c>
      <c r="G464" s="10">
        <v>30306200</v>
      </c>
    </row>
    <row r="465" spans="1:7" x14ac:dyDescent="0.2">
      <c r="A465" s="9">
        <v>45748</v>
      </c>
      <c r="B465" s="8">
        <v>49.39</v>
      </c>
      <c r="C465" s="8">
        <v>50.49</v>
      </c>
      <c r="D465" s="8">
        <v>39.32</v>
      </c>
      <c r="E465" s="8">
        <v>44.97</v>
      </c>
      <c r="F465" s="8">
        <v>43.83</v>
      </c>
      <c r="G465" s="10">
        <v>47344100</v>
      </c>
    </row>
    <row r="466" spans="1:7" x14ac:dyDescent="0.2">
      <c r="A466" s="9">
        <v>45717</v>
      </c>
      <c r="B466" s="8">
        <v>54.41</v>
      </c>
      <c r="C466" s="8">
        <v>54.85</v>
      </c>
      <c r="D466" s="8">
        <v>46.19</v>
      </c>
      <c r="E466" s="8">
        <v>49.86</v>
      </c>
      <c r="F466" s="8">
        <v>48.59</v>
      </c>
      <c r="G466" s="10">
        <v>46794000</v>
      </c>
    </row>
    <row r="467" spans="1:7" x14ac:dyDescent="0.2">
      <c r="A467" s="9">
        <v>45689</v>
      </c>
      <c r="B467" s="8">
        <v>55.87</v>
      </c>
      <c r="C467" s="8">
        <v>58.39</v>
      </c>
      <c r="D467" s="8">
        <v>52.16</v>
      </c>
      <c r="E467" s="8">
        <v>54.04</v>
      </c>
      <c r="F467" s="8">
        <v>52.26</v>
      </c>
      <c r="G467" s="10">
        <v>24726600</v>
      </c>
    </row>
    <row r="468" spans="1:7" x14ac:dyDescent="0.2">
      <c r="A468" s="9">
        <v>45658</v>
      </c>
      <c r="B468" s="8">
        <v>54.67</v>
      </c>
      <c r="C468" s="8">
        <v>59.45</v>
      </c>
      <c r="D468" s="8">
        <v>52.81</v>
      </c>
      <c r="E468" s="8">
        <v>57.86</v>
      </c>
      <c r="F468" s="8">
        <v>55.95</v>
      </c>
      <c r="G468" s="10">
        <v>25021300</v>
      </c>
    </row>
    <row r="469" spans="1:7" x14ac:dyDescent="0.2">
      <c r="A469" s="9">
        <v>45627</v>
      </c>
      <c r="B469" s="8">
        <v>60.69</v>
      </c>
      <c r="C469" s="8">
        <v>60.71</v>
      </c>
      <c r="D469" s="8">
        <v>52.07</v>
      </c>
      <c r="E469" s="8">
        <v>54.25</v>
      </c>
      <c r="F469" s="8">
        <v>52.46</v>
      </c>
      <c r="G469" s="10">
        <v>27556300</v>
      </c>
    </row>
    <row r="470" spans="1:7" x14ac:dyDescent="0.2">
      <c r="A470" s="9">
        <v>45597</v>
      </c>
      <c r="B470" s="8">
        <v>52.28</v>
      </c>
      <c r="C470" s="8">
        <v>63.22</v>
      </c>
      <c r="D470" s="8">
        <v>50.24</v>
      </c>
      <c r="E470" s="8">
        <v>60.52</v>
      </c>
      <c r="F470" s="8">
        <v>58.11</v>
      </c>
      <c r="G470" s="10">
        <v>25501100</v>
      </c>
    </row>
    <row r="471" spans="1:7" x14ac:dyDescent="0.2">
      <c r="A471" s="9">
        <v>45566</v>
      </c>
      <c r="B471" s="8">
        <v>46.7</v>
      </c>
      <c r="C471" s="8">
        <v>53.85</v>
      </c>
      <c r="D471" s="8">
        <v>44.96</v>
      </c>
      <c r="E471" s="8">
        <v>52.06</v>
      </c>
      <c r="F471" s="8">
        <v>49.99</v>
      </c>
      <c r="G471" s="10">
        <v>32255600</v>
      </c>
    </row>
    <row r="472" spans="1:7" x14ac:dyDescent="0.2">
      <c r="A472" s="9">
        <v>45536</v>
      </c>
      <c r="B472" s="8">
        <v>48.99</v>
      </c>
      <c r="C472" s="8">
        <v>49.57</v>
      </c>
      <c r="D472" s="8">
        <v>43.72</v>
      </c>
      <c r="E472" s="8">
        <v>47.22</v>
      </c>
      <c r="F472" s="8">
        <v>45.34</v>
      </c>
      <c r="G472" s="10">
        <v>31447100</v>
      </c>
    </row>
    <row r="473" spans="1:7" x14ac:dyDescent="0.2">
      <c r="A473" s="9">
        <v>45505</v>
      </c>
      <c r="B473" s="8">
        <v>51.62</v>
      </c>
      <c r="C473" s="8">
        <v>51.81</v>
      </c>
      <c r="D473" s="8">
        <v>43.51</v>
      </c>
      <c r="E473" s="8">
        <v>49.56</v>
      </c>
      <c r="F473" s="8">
        <v>47.15</v>
      </c>
      <c r="G473" s="10">
        <v>33896600</v>
      </c>
    </row>
    <row r="474" spans="1:7" x14ac:dyDescent="0.2">
      <c r="A474" s="9">
        <v>45474</v>
      </c>
      <c r="B474" s="8">
        <v>43.03</v>
      </c>
      <c r="C474" s="8">
        <v>53.32</v>
      </c>
      <c r="D474" s="8">
        <v>42.33</v>
      </c>
      <c r="E474" s="8">
        <v>51.67</v>
      </c>
      <c r="F474" s="8">
        <v>49.16</v>
      </c>
      <c r="G474" s="10">
        <v>41209600</v>
      </c>
    </row>
    <row r="475" spans="1:7" x14ac:dyDescent="0.2">
      <c r="A475" s="9">
        <v>45444</v>
      </c>
      <c r="B475" s="8">
        <v>43.45</v>
      </c>
      <c r="C475" s="8">
        <v>43.54</v>
      </c>
      <c r="D475" s="8">
        <v>39.909999999999997</v>
      </c>
      <c r="E475" s="8">
        <v>43.37</v>
      </c>
      <c r="F475" s="8">
        <v>41.26</v>
      </c>
      <c r="G475" s="10">
        <v>27889600</v>
      </c>
    </row>
    <row r="476" spans="1:7" x14ac:dyDescent="0.2">
      <c r="A476" s="9">
        <v>45413</v>
      </c>
      <c r="B476" s="8">
        <v>41.08</v>
      </c>
      <c r="C476" s="8">
        <v>45.54</v>
      </c>
      <c r="D476" s="8">
        <v>40.98</v>
      </c>
      <c r="E476" s="8">
        <v>43.19</v>
      </c>
      <c r="F476" s="8">
        <v>40.72</v>
      </c>
      <c r="G476" s="10">
        <v>29998600</v>
      </c>
    </row>
    <row r="477" spans="1:7" x14ac:dyDescent="0.2">
      <c r="A477" s="9">
        <v>45383</v>
      </c>
      <c r="B477" s="8">
        <v>43.36</v>
      </c>
      <c r="C477" s="8">
        <v>43.63</v>
      </c>
      <c r="D477" s="8">
        <v>39.049999999999997</v>
      </c>
      <c r="E477" s="8">
        <v>40.78</v>
      </c>
      <c r="F477" s="8">
        <v>38.44</v>
      </c>
      <c r="G477" s="10">
        <v>42463900</v>
      </c>
    </row>
    <row r="478" spans="1:7" x14ac:dyDescent="0.2">
      <c r="A478" s="9">
        <v>45352</v>
      </c>
      <c r="B478" s="8">
        <v>38.72</v>
      </c>
      <c r="C478" s="8">
        <v>43.52</v>
      </c>
      <c r="D478" s="8">
        <v>38.01</v>
      </c>
      <c r="E478" s="8">
        <v>43.4</v>
      </c>
      <c r="F478" s="8">
        <v>40.909999999999997</v>
      </c>
      <c r="G478" s="10">
        <v>86424800</v>
      </c>
    </row>
    <row r="479" spans="1:7" x14ac:dyDescent="0.2">
      <c r="A479" s="9">
        <v>45323</v>
      </c>
      <c r="B479" s="8">
        <v>42.19</v>
      </c>
      <c r="C479" s="8">
        <v>42.34</v>
      </c>
      <c r="D479" s="8">
        <v>37.76</v>
      </c>
      <c r="E479" s="8">
        <v>39.43</v>
      </c>
      <c r="F479" s="8">
        <v>36.78</v>
      </c>
      <c r="G479" s="10">
        <v>62019000</v>
      </c>
    </row>
    <row r="480" spans="1:7" x14ac:dyDescent="0.2">
      <c r="A480" s="9">
        <v>45292</v>
      </c>
      <c r="B480" s="8">
        <v>43.5</v>
      </c>
      <c r="C480" s="8">
        <v>45.33</v>
      </c>
      <c r="D480" s="8">
        <v>39.78</v>
      </c>
      <c r="E480" s="8">
        <v>41.9</v>
      </c>
      <c r="F480" s="8">
        <v>39.090000000000003</v>
      </c>
      <c r="G480" s="10">
        <v>54437800</v>
      </c>
    </row>
    <row r="481" spans="1:7" x14ac:dyDescent="0.2">
      <c r="A481" s="9">
        <v>45261</v>
      </c>
      <c r="B481" s="8">
        <v>35.4</v>
      </c>
      <c r="C481" s="8">
        <v>46.15</v>
      </c>
      <c r="D481" s="8">
        <v>35.21</v>
      </c>
      <c r="E481" s="8">
        <v>43.87</v>
      </c>
      <c r="F481" s="8">
        <v>40.93</v>
      </c>
      <c r="G481" s="10">
        <v>49178000</v>
      </c>
    </row>
    <row r="482" spans="1:7" x14ac:dyDescent="0.2">
      <c r="A482" s="9">
        <v>45231</v>
      </c>
      <c r="B482" s="8">
        <v>30.74</v>
      </c>
      <c r="C482" s="8">
        <v>36.53</v>
      </c>
      <c r="D482" s="8">
        <v>30.33</v>
      </c>
      <c r="E482" s="8">
        <v>35.630000000000003</v>
      </c>
      <c r="F482" s="8">
        <v>32.840000000000003</v>
      </c>
      <c r="G482" s="10">
        <v>42506500</v>
      </c>
    </row>
    <row r="483" spans="1:7" x14ac:dyDescent="0.2">
      <c r="A483" s="9">
        <v>45200</v>
      </c>
      <c r="B483" s="8">
        <v>34.89</v>
      </c>
      <c r="C483" s="8">
        <v>37.19</v>
      </c>
      <c r="D483" s="8">
        <v>28.9</v>
      </c>
      <c r="E483" s="8">
        <v>30.85</v>
      </c>
      <c r="F483" s="8">
        <v>28.43</v>
      </c>
      <c r="G483" s="10">
        <v>77844500</v>
      </c>
    </row>
    <row r="484" spans="1:7" x14ac:dyDescent="0.2">
      <c r="A484" s="9">
        <v>45170</v>
      </c>
      <c r="B484" s="8">
        <v>35.76</v>
      </c>
      <c r="C484" s="8">
        <v>37.630000000000003</v>
      </c>
      <c r="D484" s="8">
        <v>32.54</v>
      </c>
      <c r="E484" s="8">
        <v>34.89</v>
      </c>
      <c r="F484" s="8">
        <v>32.159999999999997</v>
      </c>
      <c r="G484" s="10">
        <v>57345300</v>
      </c>
    </row>
    <row r="485" spans="1:7" x14ac:dyDescent="0.2">
      <c r="A485" s="9">
        <v>45139</v>
      </c>
      <c r="B485" s="8">
        <v>38.65</v>
      </c>
      <c r="C485" s="8">
        <v>38.68</v>
      </c>
      <c r="D485" s="8">
        <v>32.65</v>
      </c>
      <c r="E485" s="8">
        <v>35.5</v>
      </c>
      <c r="F485" s="8">
        <v>32.340000000000003</v>
      </c>
      <c r="G485" s="10">
        <v>54851700</v>
      </c>
    </row>
    <row r="486" spans="1:7" x14ac:dyDescent="0.2">
      <c r="A486" s="9">
        <v>45108</v>
      </c>
      <c r="B486" s="8">
        <v>27.26</v>
      </c>
      <c r="C486" s="8">
        <v>39.64</v>
      </c>
      <c r="D486" s="8">
        <v>26.69</v>
      </c>
      <c r="E486" s="8">
        <v>38.25</v>
      </c>
      <c r="F486" s="8">
        <v>34.85</v>
      </c>
      <c r="G486" s="10">
        <v>94571400</v>
      </c>
    </row>
    <row r="487" spans="1:7" x14ac:dyDescent="0.2">
      <c r="A487" s="9">
        <v>45078</v>
      </c>
      <c r="B487" s="8">
        <v>27.81</v>
      </c>
      <c r="C487" s="8">
        <v>32.340000000000003</v>
      </c>
      <c r="D487" s="8">
        <v>26.36</v>
      </c>
      <c r="E487" s="8">
        <v>26.86</v>
      </c>
      <c r="F487" s="8">
        <v>24.47</v>
      </c>
      <c r="G487" s="10">
        <v>89806300</v>
      </c>
    </row>
    <row r="488" spans="1:7" x14ac:dyDescent="0.2">
      <c r="A488" s="9">
        <v>45047</v>
      </c>
      <c r="B488" s="8">
        <v>27.94</v>
      </c>
      <c r="C488" s="8">
        <v>30.67</v>
      </c>
      <c r="D488" s="8">
        <v>18.260000000000002</v>
      </c>
      <c r="E488" s="8">
        <v>27.29</v>
      </c>
      <c r="F488" s="8">
        <v>24.43</v>
      </c>
      <c r="G488" s="10">
        <v>185283000</v>
      </c>
    </row>
    <row r="489" spans="1:7" x14ac:dyDescent="0.2">
      <c r="A489" s="9">
        <v>45017</v>
      </c>
      <c r="B489" s="8">
        <v>30.29</v>
      </c>
      <c r="C489" s="8">
        <v>33.130000000000003</v>
      </c>
      <c r="D489" s="8">
        <v>25.91</v>
      </c>
      <c r="E489" s="8">
        <v>27.86</v>
      </c>
      <c r="F489" s="8">
        <v>24.94</v>
      </c>
      <c r="G489" s="10">
        <v>100405300</v>
      </c>
    </row>
    <row r="490" spans="1:7" x14ac:dyDescent="0.2">
      <c r="A490" s="9">
        <v>44986</v>
      </c>
      <c r="B490" s="8">
        <v>50.26</v>
      </c>
      <c r="C490" s="8">
        <v>50.96</v>
      </c>
      <c r="D490" s="8">
        <v>22.55</v>
      </c>
      <c r="E490" s="8">
        <v>29.93</v>
      </c>
      <c r="F490" s="8">
        <v>26.8</v>
      </c>
      <c r="G490" s="10">
        <v>170051500</v>
      </c>
    </row>
    <row r="491" spans="1:7" x14ac:dyDescent="0.2">
      <c r="A491" s="9">
        <v>44958</v>
      </c>
      <c r="B491" s="8">
        <v>52.87</v>
      </c>
      <c r="C491" s="8">
        <v>55.2</v>
      </c>
      <c r="D491" s="8">
        <v>48.63</v>
      </c>
      <c r="E491" s="8">
        <v>50.62</v>
      </c>
      <c r="F491" s="8">
        <v>44.97</v>
      </c>
      <c r="G491" s="10">
        <v>23976800</v>
      </c>
    </row>
    <row r="492" spans="1:7" x14ac:dyDescent="0.2">
      <c r="A492" s="9">
        <v>44927</v>
      </c>
      <c r="B492" s="8">
        <v>48.68</v>
      </c>
      <c r="C492" s="8">
        <v>53.77</v>
      </c>
      <c r="D492" s="8">
        <v>47.56</v>
      </c>
      <c r="E492" s="8">
        <v>53.16</v>
      </c>
      <c r="F492" s="8">
        <v>47.23</v>
      </c>
      <c r="G492" s="10">
        <v>32306300</v>
      </c>
    </row>
    <row r="493" spans="1:7" x14ac:dyDescent="0.2">
      <c r="A493" s="9">
        <v>44896</v>
      </c>
      <c r="B493" s="8">
        <v>52.2</v>
      </c>
      <c r="C493" s="8">
        <v>52.61</v>
      </c>
      <c r="D493" s="8">
        <v>45.21</v>
      </c>
      <c r="E493" s="8">
        <v>49.16</v>
      </c>
      <c r="F493" s="8">
        <v>43.67</v>
      </c>
      <c r="G493" s="10">
        <v>27665700</v>
      </c>
    </row>
    <row r="494" spans="1:7" x14ac:dyDescent="0.2">
      <c r="A494" s="9">
        <v>44866</v>
      </c>
      <c r="B494" s="8">
        <v>52.39</v>
      </c>
      <c r="C494" s="8">
        <v>56.1</v>
      </c>
      <c r="D494" s="8">
        <v>47.46</v>
      </c>
      <c r="E494" s="8">
        <v>51.82</v>
      </c>
      <c r="F494" s="8">
        <v>45.66</v>
      </c>
      <c r="G494" s="10">
        <v>29410400</v>
      </c>
    </row>
    <row r="495" spans="1:7" x14ac:dyDescent="0.2">
      <c r="A495" s="9">
        <v>44835</v>
      </c>
      <c r="B495" s="8">
        <v>51.73</v>
      </c>
      <c r="C495" s="8">
        <v>54.52</v>
      </c>
      <c r="D495" s="8">
        <v>46.58</v>
      </c>
      <c r="E495" s="8">
        <v>51.94</v>
      </c>
      <c r="F495" s="8">
        <v>45.77</v>
      </c>
      <c r="G495" s="10">
        <v>35928800</v>
      </c>
    </row>
    <row r="496" spans="1:7" x14ac:dyDescent="0.2">
      <c r="A496" s="9">
        <v>44805</v>
      </c>
      <c r="B496" s="8">
        <v>54.75</v>
      </c>
      <c r="C496" s="8">
        <v>59.75</v>
      </c>
      <c r="D496" s="8">
        <v>50.79</v>
      </c>
      <c r="E496" s="8">
        <v>50.86</v>
      </c>
      <c r="F496" s="8">
        <v>44.82</v>
      </c>
      <c r="G496" s="10">
        <v>26071600</v>
      </c>
    </row>
    <row r="497" spans="1:7" x14ac:dyDescent="0.2">
      <c r="A497" s="9">
        <v>44774</v>
      </c>
      <c r="B497" s="8">
        <v>54.29</v>
      </c>
      <c r="C497" s="8">
        <v>59.51</v>
      </c>
      <c r="D497" s="8">
        <v>53.01</v>
      </c>
      <c r="E497" s="8">
        <v>55.03</v>
      </c>
      <c r="F497" s="8">
        <v>48.16</v>
      </c>
      <c r="G497" s="10">
        <v>23218800</v>
      </c>
    </row>
    <row r="498" spans="1:7" x14ac:dyDescent="0.2">
      <c r="A498" s="9">
        <v>44743</v>
      </c>
      <c r="B498" s="8">
        <v>50.64</v>
      </c>
      <c r="C498" s="8">
        <v>54.7</v>
      </c>
      <c r="D498" s="8">
        <v>47.92</v>
      </c>
      <c r="E498" s="8">
        <v>54.55</v>
      </c>
      <c r="F498" s="8">
        <v>47.74</v>
      </c>
      <c r="G498" s="10">
        <v>27935800</v>
      </c>
    </row>
    <row r="499" spans="1:7" x14ac:dyDescent="0.2">
      <c r="A499" s="9">
        <v>44713</v>
      </c>
      <c r="B499" s="8">
        <v>56.93</v>
      </c>
      <c r="C499" s="8">
        <v>57.79</v>
      </c>
      <c r="D499" s="8">
        <v>49.94</v>
      </c>
      <c r="E499" s="8">
        <v>50.9</v>
      </c>
      <c r="F499" s="8">
        <v>44.54</v>
      </c>
      <c r="G499" s="10">
        <v>31124600</v>
      </c>
    </row>
    <row r="500" spans="1:7" x14ac:dyDescent="0.2">
      <c r="A500" s="9">
        <v>44682</v>
      </c>
      <c r="B500" s="8">
        <v>57.1</v>
      </c>
      <c r="C500" s="8">
        <v>59.51</v>
      </c>
      <c r="D500" s="8">
        <v>50.62</v>
      </c>
      <c r="E500" s="8">
        <v>57.04</v>
      </c>
      <c r="F500" s="8">
        <v>49.57</v>
      </c>
      <c r="G500" s="10">
        <v>30219600</v>
      </c>
    </row>
    <row r="501" spans="1:7" x14ac:dyDescent="0.2">
      <c r="A501" s="9">
        <v>44652</v>
      </c>
      <c r="B501" s="8">
        <v>66.61</v>
      </c>
      <c r="C501" s="8">
        <v>67.25</v>
      </c>
      <c r="D501" s="8">
        <v>55.05</v>
      </c>
      <c r="E501" s="8">
        <v>56.51</v>
      </c>
      <c r="F501" s="8">
        <v>49.11</v>
      </c>
      <c r="G501" s="10">
        <v>33289300</v>
      </c>
    </row>
    <row r="502" spans="1:7" x14ac:dyDescent="0.2">
      <c r="A502" s="9">
        <v>44621</v>
      </c>
      <c r="B502" s="8">
        <v>70.27</v>
      </c>
      <c r="C502" s="8">
        <v>71.25</v>
      </c>
      <c r="D502" s="8">
        <v>61.75</v>
      </c>
      <c r="E502" s="8">
        <v>65.56</v>
      </c>
      <c r="F502" s="8">
        <v>56.97</v>
      </c>
      <c r="G502" s="10">
        <v>40594700</v>
      </c>
    </row>
    <row r="503" spans="1:7" x14ac:dyDescent="0.2">
      <c r="A503" s="9">
        <v>44593</v>
      </c>
      <c r="B503" s="8">
        <v>67.62</v>
      </c>
      <c r="C503" s="8">
        <v>75.44</v>
      </c>
      <c r="D503" s="8">
        <v>63.91</v>
      </c>
      <c r="E503" s="8">
        <v>70.89</v>
      </c>
      <c r="F503" s="8">
        <v>61.29</v>
      </c>
      <c r="G503" s="10">
        <v>29117500</v>
      </c>
    </row>
    <row r="504" spans="1:7" x14ac:dyDescent="0.2">
      <c r="A504" s="9">
        <v>44562</v>
      </c>
      <c r="B504" s="8">
        <v>63.88</v>
      </c>
      <c r="C504" s="8">
        <v>71.209999999999994</v>
      </c>
      <c r="D504" s="8">
        <v>59.49</v>
      </c>
      <c r="E504" s="8">
        <v>67.819999999999993</v>
      </c>
      <c r="F504" s="8">
        <v>58.64</v>
      </c>
      <c r="G504" s="10">
        <v>32969500</v>
      </c>
    </row>
    <row r="505" spans="1:7" x14ac:dyDescent="0.2">
      <c r="A505" s="9">
        <v>44531</v>
      </c>
      <c r="B505" s="8">
        <v>64.400000000000006</v>
      </c>
      <c r="C505" s="8">
        <v>65.27</v>
      </c>
      <c r="D505" s="8">
        <v>58.18</v>
      </c>
      <c r="E505" s="8">
        <v>63.16</v>
      </c>
      <c r="F505" s="8">
        <v>54.61</v>
      </c>
      <c r="G505" s="10">
        <v>27485100</v>
      </c>
    </row>
    <row r="506" spans="1:7" x14ac:dyDescent="0.2">
      <c r="A506" s="9">
        <v>44501</v>
      </c>
      <c r="B506" s="8">
        <v>63.55</v>
      </c>
      <c r="C506" s="8">
        <v>68.25</v>
      </c>
      <c r="D506" s="8">
        <v>62.71</v>
      </c>
      <c r="E506" s="8">
        <v>63.08</v>
      </c>
      <c r="F506" s="8">
        <v>54.22</v>
      </c>
      <c r="G506" s="10">
        <v>25291300</v>
      </c>
    </row>
    <row r="507" spans="1:7" x14ac:dyDescent="0.2">
      <c r="A507" s="9">
        <v>44470</v>
      </c>
      <c r="B507" s="8">
        <v>62.2</v>
      </c>
      <c r="C507" s="8">
        <v>66.989999999999995</v>
      </c>
      <c r="D507" s="8">
        <v>60.48</v>
      </c>
      <c r="E507" s="8">
        <v>62.99</v>
      </c>
      <c r="F507" s="8">
        <v>54.14</v>
      </c>
      <c r="G507" s="10">
        <v>25945400</v>
      </c>
    </row>
    <row r="508" spans="1:7" x14ac:dyDescent="0.2">
      <c r="A508" s="9">
        <v>44440</v>
      </c>
      <c r="B508" s="8">
        <v>57.25</v>
      </c>
      <c r="C508" s="8">
        <v>64</v>
      </c>
      <c r="D508" s="8">
        <v>54.37</v>
      </c>
      <c r="E508" s="8">
        <v>61.89</v>
      </c>
      <c r="F508" s="8">
        <v>53.2</v>
      </c>
      <c r="G508" s="10">
        <v>27804400</v>
      </c>
    </row>
    <row r="509" spans="1:7" x14ac:dyDescent="0.2">
      <c r="A509" s="9">
        <v>44409</v>
      </c>
      <c r="B509" s="8">
        <v>52.35</v>
      </c>
      <c r="C509" s="8">
        <v>58.62</v>
      </c>
      <c r="D509" s="8">
        <v>50.8</v>
      </c>
      <c r="E509" s="8">
        <v>57.9</v>
      </c>
      <c r="F509" s="8">
        <v>49.43</v>
      </c>
      <c r="G509" s="10">
        <v>25210400</v>
      </c>
    </row>
    <row r="510" spans="1:7" x14ac:dyDescent="0.2">
      <c r="A510" s="9">
        <v>44378</v>
      </c>
      <c r="B510" s="8">
        <v>53.69</v>
      </c>
      <c r="C510" s="8">
        <v>54.02</v>
      </c>
      <c r="D510" s="8">
        <v>47.06</v>
      </c>
      <c r="E510" s="8">
        <v>52.15</v>
      </c>
      <c r="F510" s="8">
        <v>44.52</v>
      </c>
      <c r="G510" s="10">
        <v>30506700</v>
      </c>
    </row>
    <row r="511" spans="1:7" x14ac:dyDescent="0.2">
      <c r="A511" s="9">
        <v>44348</v>
      </c>
      <c r="B511" s="8">
        <v>58.29</v>
      </c>
      <c r="C511" s="8">
        <v>59.26</v>
      </c>
      <c r="D511" s="8">
        <v>49.79</v>
      </c>
      <c r="E511" s="8">
        <v>52.86</v>
      </c>
      <c r="F511" s="8">
        <v>45.12</v>
      </c>
      <c r="G511" s="10">
        <v>27399300</v>
      </c>
    </row>
    <row r="512" spans="1:7" x14ac:dyDescent="0.2">
      <c r="A512" s="9">
        <v>44317</v>
      </c>
      <c r="B512" s="8">
        <v>56.45</v>
      </c>
      <c r="C512" s="8">
        <v>60.65</v>
      </c>
      <c r="D512" s="8">
        <v>55</v>
      </c>
      <c r="E512" s="8">
        <v>57.88</v>
      </c>
      <c r="F512" s="8">
        <v>49.12</v>
      </c>
      <c r="G512" s="10">
        <v>25776500</v>
      </c>
    </row>
    <row r="513" spans="1:7" x14ac:dyDescent="0.2">
      <c r="A513" s="9">
        <v>44287</v>
      </c>
      <c r="B513" s="8">
        <v>54.55</v>
      </c>
      <c r="C513" s="8">
        <v>57.1</v>
      </c>
      <c r="D513" s="8">
        <v>51.63</v>
      </c>
      <c r="E513" s="8">
        <v>55.8</v>
      </c>
      <c r="F513" s="8">
        <v>47.36</v>
      </c>
      <c r="G513" s="10">
        <v>27983000</v>
      </c>
    </row>
    <row r="514" spans="1:7" x14ac:dyDescent="0.2">
      <c r="A514" s="9">
        <v>44256</v>
      </c>
      <c r="B514" s="8">
        <v>53.83</v>
      </c>
      <c r="C514" s="8">
        <v>60.22</v>
      </c>
      <c r="D514" s="8">
        <v>52.18</v>
      </c>
      <c r="E514" s="8">
        <v>54.96</v>
      </c>
      <c r="F514" s="8">
        <v>46.64</v>
      </c>
      <c r="G514" s="10">
        <v>35671400</v>
      </c>
    </row>
    <row r="515" spans="1:7" x14ac:dyDescent="0.2">
      <c r="A515" s="9">
        <v>44228</v>
      </c>
      <c r="B515" s="8">
        <v>44.43</v>
      </c>
      <c r="C515" s="8">
        <v>57.7</v>
      </c>
      <c r="D515" s="8">
        <v>44.02</v>
      </c>
      <c r="E515" s="8">
        <v>53.17</v>
      </c>
      <c r="F515" s="8">
        <v>44.83</v>
      </c>
      <c r="G515" s="10">
        <v>26378400</v>
      </c>
    </row>
    <row r="516" spans="1:7" x14ac:dyDescent="0.2">
      <c r="A516" s="9">
        <v>44197</v>
      </c>
      <c r="B516" s="8">
        <v>43.08</v>
      </c>
      <c r="C516" s="8">
        <v>51.22</v>
      </c>
      <c r="D516" s="8">
        <v>42.12</v>
      </c>
      <c r="E516" s="8">
        <v>44.14</v>
      </c>
      <c r="F516" s="8">
        <v>37.21</v>
      </c>
      <c r="G516" s="10">
        <v>31035000</v>
      </c>
    </row>
    <row r="517" spans="1:7" x14ac:dyDescent="0.2">
      <c r="A517" s="9">
        <v>44166</v>
      </c>
      <c r="B517" s="8">
        <v>39.53</v>
      </c>
      <c r="C517" s="8">
        <v>44.3</v>
      </c>
      <c r="D517" s="8">
        <v>39.04</v>
      </c>
      <c r="E517" s="8">
        <v>43.44</v>
      </c>
      <c r="F517" s="8">
        <v>36.619999999999997</v>
      </c>
      <c r="G517" s="10">
        <v>35405900</v>
      </c>
    </row>
    <row r="522" spans="1:7" x14ac:dyDescent="0.2">
      <c r="A522" s="4" t="s">
        <v>7</v>
      </c>
      <c r="B522" s="4" t="s">
        <v>8</v>
      </c>
      <c r="C522" s="4" t="s">
        <v>9</v>
      </c>
      <c r="D522" s="4" t="s">
        <v>10</v>
      </c>
      <c r="E522" s="4" t="s">
        <v>11</v>
      </c>
      <c r="F522" s="4" t="s">
        <v>12</v>
      </c>
      <c r="G522" s="4" t="s">
        <v>13</v>
      </c>
    </row>
    <row r="523" spans="1:7" ht="18" x14ac:dyDescent="0.2">
      <c r="A523" s="5">
        <v>45962</v>
      </c>
      <c r="B523" s="6">
        <v>21.18</v>
      </c>
      <c r="C523" s="6">
        <v>22.09</v>
      </c>
      <c r="D523" s="6">
        <v>20.95</v>
      </c>
      <c r="E523" s="6">
        <v>21.4</v>
      </c>
      <c r="F523" s="6">
        <v>21.4</v>
      </c>
      <c r="G523" s="7">
        <v>73439300</v>
      </c>
    </row>
    <row r="524" spans="1:7" ht="18" x14ac:dyDescent="0.2">
      <c r="A524" s="5">
        <v>45931</v>
      </c>
      <c r="B524" s="6">
        <v>22.55</v>
      </c>
      <c r="C524" s="6">
        <v>23.7</v>
      </c>
      <c r="D524" s="6">
        <v>19.8</v>
      </c>
      <c r="E524" s="6">
        <v>21.36</v>
      </c>
      <c r="F524" s="6">
        <v>21.36</v>
      </c>
      <c r="G524" s="7">
        <v>381026800</v>
      </c>
    </row>
    <row r="525" spans="1:7" ht="18" x14ac:dyDescent="0.2">
      <c r="A525" s="5">
        <v>45901</v>
      </c>
      <c r="B525" s="6">
        <v>22.28</v>
      </c>
      <c r="C525" s="6">
        <v>23.26</v>
      </c>
      <c r="D525" s="6">
        <v>21.94</v>
      </c>
      <c r="E525" s="6">
        <v>22.61</v>
      </c>
      <c r="F525" s="6">
        <v>22.46</v>
      </c>
      <c r="G525" s="7">
        <v>241128900</v>
      </c>
    </row>
    <row r="526" spans="1:7" ht="18" x14ac:dyDescent="0.2">
      <c r="A526" s="5">
        <v>45870</v>
      </c>
      <c r="B526" s="6">
        <v>21.39</v>
      </c>
      <c r="C526" s="6">
        <v>22.98</v>
      </c>
      <c r="D526" s="6">
        <v>20.9</v>
      </c>
      <c r="E526" s="6">
        <v>22.6</v>
      </c>
      <c r="F526" s="6">
        <v>22.45</v>
      </c>
      <c r="G526" s="7">
        <v>209574800</v>
      </c>
    </row>
    <row r="527" spans="1:7" ht="18" x14ac:dyDescent="0.2">
      <c r="A527" s="5">
        <v>45839</v>
      </c>
      <c r="B527" s="6">
        <v>21.07</v>
      </c>
      <c r="C527" s="6">
        <v>23</v>
      </c>
      <c r="D527" s="6">
        <v>20.98</v>
      </c>
      <c r="E527" s="6">
        <v>21.81</v>
      </c>
      <c r="F527" s="6">
        <v>21.67</v>
      </c>
      <c r="G527" s="7">
        <v>185041300</v>
      </c>
    </row>
    <row r="528" spans="1:7" ht="18" x14ac:dyDescent="0.2">
      <c r="A528" s="5">
        <v>45809</v>
      </c>
      <c r="B528" s="6">
        <v>19.84</v>
      </c>
      <c r="C528" s="6">
        <v>21.31</v>
      </c>
      <c r="D528" s="6">
        <v>19.04</v>
      </c>
      <c r="E528" s="6">
        <v>21.2</v>
      </c>
      <c r="F528" s="6">
        <v>20.9</v>
      </c>
      <c r="G528" s="7">
        <v>112728900</v>
      </c>
    </row>
    <row r="529" spans="1:7" ht="18" x14ac:dyDescent="0.2">
      <c r="A529" s="5">
        <v>45778</v>
      </c>
      <c r="B529" s="6">
        <v>18.05</v>
      </c>
      <c r="C529" s="6">
        <v>20.58</v>
      </c>
      <c r="D529" s="6">
        <v>17.95</v>
      </c>
      <c r="E529" s="6">
        <v>19.88</v>
      </c>
      <c r="F529" s="6">
        <v>19.600000000000001</v>
      </c>
      <c r="G529" s="7">
        <v>90918700</v>
      </c>
    </row>
    <row r="530" spans="1:7" ht="18" x14ac:dyDescent="0.2">
      <c r="A530" s="5">
        <v>45748</v>
      </c>
      <c r="B530" s="6">
        <v>19.21</v>
      </c>
      <c r="C530" s="6">
        <v>19.66</v>
      </c>
      <c r="D530" s="6">
        <v>15.19</v>
      </c>
      <c r="E530" s="6">
        <v>18.079999999999998</v>
      </c>
      <c r="F530" s="6">
        <v>17.82</v>
      </c>
      <c r="G530" s="7">
        <v>142479600</v>
      </c>
    </row>
    <row r="531" spans="1:7" ht="18" x14ac:dyDescent="0.2">
      <c r="A531" s="5">
        <v>45717</v>
      </c>
      <c r="B531" s="6">
        <v>21.57</v>
      </c>
      <c r="C531" s="6">
        <v>21.77</v>
      </c>
      <c r="D531" s="6">
        <v>17.510000000000002</v>
      </c>
      <c r="E531" s="6">
        <v>19.420000000000002</v>
      </c>
      <c r="F531" s="6">
        <v>18.989999999999998</v>
      </c>
      <c r="G531" s="7">
        <v>151594800</v>
      </c>
    </row>
    <row r="532" spans="1:7" ht="18" x14ac:dyDescent="0.2">
      <c r="A532" s="5">
        <v>45689</v>
      </c>
      <c r="B532" s="6">
        <v>21.28</v>
      </c>
      <c r="C532" s="6">
        <v>22.44</v>
      </c>
      <c r="D532" s="6">
        <v>20.37</v>
      </c>
      <c r="E532" s="6">
        <v>21.54</v>
      </c>
      <c r="F532" s="6">
        <v>21.06</v>
      </c>
      <c r="G532" s="7">
        <v>96875800</v>
      </c>
    </row>
    <row r="533" spans="1:7" ht="18" x14ac:dyDescent="0.2">
      <c r="A533" s="5">
        <v>45658</v>
      </c>
      <c r="B533" s="6">
        <v>20.18</v>
      </c>
      <c r="C533" s="6">
        <v>22.11</v>
      </c>
      <c r="D533" s="6">
        <v>19.690000000000001</v>
      </c>
      <c r="E533" s="6">
        <v>21.89</v>
      </c>
      <c r="F533" s="6">
        <v>21.41</v>
      </c>
      <c r="G533" s="7">
        <v>122082000</v>
      </c>
    </row>
    <row r="534" spans="1:7" ht="18" x14ac:dyDescent="0.2">
      <c r="A534" s="5">
        <v>45627</v>
      </c>
      <c r="B534" s="6">
        <v>21.22</v>
      </c>
      <c r="C534" s="6">
        <v>21.25</v>
      </c>
      <c r="D534" s="6">
        <v>19.09</v>
      </c>
      <c r="E534" s="6">
        <v>20.14</v>
      </c>
      <c r="F534" s="6">
        <v>19.55</v>
      </c>
      <c r="G534" s="7">
        <v>126437300</v>
      </c>
    </row>
    <row r="535" spans="1:7" ht="18" x14ac:dyDescent="0.2">
      <c r="A535" s="5">
        <v>45597</v>
      </c>
      <c r="B535" s="6">
        <v>17.440000000000001</v>
      </c>
      <c r="C535" s="6">
        <v>21.72</v>
      </c>
      <c r="D535" s="6">
        <v>16.899999999999999</v>
      </c>
      <c r="E535" s="6">
        <v>21.13</v>
      </c>
      <c r="F535" s="6">
        <v>20.51</v>
      </c>
      <c r="G535" s="7">
        <v>133796200</v>
      </c>
    </row>
    <row r="536" spans="1:7" ht="18" x14ac:dyDescent="0.2">
      <c r="A536" s="5">
        <v>45566</v>
      </c>
      <c r="B536" s="6">
        <v>15.45</v>
      </c>
      <c r="C536" s="6">
        <v>17.93</v>
      </c>
      <c r="D536" s="6">
        <v>14.83</v>
      </c>
      <c r="E536" s="6">
        <v>17.329999999999998</v>
      </c>
      <c r="F536" s="6">
        <v>16.82</v>
      </c>
      <c r="G536" s="7">
        <v>150035500</v>
      </c>
    </row>
    <row r="537" spans="1:7" ht="18" x14ac:dyDescent="0.2">
      <c r="A537" s="5">
        <v>45536</v>
      </c>
      <c r="B537" s="6">
        <v>16.329999999999998</v>
      </c>
      <c r="C537" s="6">
        <v>16.600000000000001</v>
      </c>
      <c r="D537" s="6">
        <v>14.9</v>
      </c>
      <c r="E537" s="6">
        <v>15.53</v>
      </c>
      <c r="F537" s="6">
        <v>14.93</v>
      </c>
      <c r="G537" s="7">
        <v>131176000</v>
      </c>
    </row>
    <row r="538" spans="1:7" ht="18" x14ac:dyDescent="0.2">
      <c r="A538" s="5">
        <v>45505</v>
      </c>
      <c r="B538" s="6">
        <v>16.690000000000001</v>
      </c>
      <c r="C538" s="6">
        <v>16.77</v>
      </c>
      <c r="D538" s="6">
        <v>14.34</v>
      </c>
      <c r="E538" s="6">
        <v>16.59</v>
      </c>
      <c r="F538" s="6">
        <v>15.95</v>
      </c>
      <c r="G538" s="7">
        <v>94809400</v>
      </c>
    </row>
    <row r="539" spans="1:7" ht="18" x14ac:dyDescent="0.2">
      <c r="A539" s="5">
        <v>45474</v>
      </c>
      <c r="B539" s="6">
        <v>15.87</v>
      </c>
      <c r="C539" s="6">
        <v>17.46</v>
      </c>
      <c r="D539" s="6">
        <v>15.07</v>
      </c>
      <c r="E539" s="6">
        <v>16.73</v>
      </c>
      <c r="F539" s="6">
        <v>16.079999999999998</v>
      </c>
      <c r="G539" s="7">
        <v>157224300</v>
      </c>
    </row>
    <row r="540" spans="1:7" ht="18" x14ac:dyDescent="0.2">
      <c r="A540" s="5">
        <v>45444</v>
      </c>
      <c r="B540" s="6">
        <v>15.91</v>
      </c>
      <c r="C540" s="6">
        <v>16</v>
      </c>
      <c r="D540" s="6">
        <v>14.09</v>
      </c>
      <c r="E540" s="6">
        <v>15.77</v>
      </c>
      <c r="F540" s="6">
        <v>15</v>
      </c>
      <c r="G540" s="7">
        <v>141620700</v>
      </c>
    </row>
    <row r="541" spans="1:7" ht="18" x14ac:dyDescent="0.2">
      <c r="A541" s="5">
        <v>45413</v>
      </c>
      <c r="B541" s="6">
        <v>14.97</v>
      </c>
      <c r="C541" s="6">
        <v>16.28</v>
      </c>
      <c r="D541" s="6">
        <v>14.94</v>
      </c>
      <c r="E541" s="6">
        <v>15.84</v>
      </c>
      <c r="F541" s="6">
        <v>15.07</v>
      </c>
      <c r="G541" s="7">
        <v>124904900</v>
      </c>
    </row>
    <row r="542" spans="1:7" ht="18" x14ac:dyDescent="0.2">
      <c r="A542" s="5">
        <v>45383</v>
      </c>
      <c r="B542" s="6">
        <v>15.41</v>
      </c>
      <c r="C542" s="6">
        <v>15.44</v>
      </c>
      <c r="D542" s="6">
        <v>13.72</v>
      </c>
      <c r="E542" s="6">
        <v>14.92</v>
      </c>
      <c r="F542" s="6">
        <v>14.19</v>
      </c>
      <c r="G542" s="7">
        <v>122820500</v>
      </c>
    </row>
    <row r="543" spans="1:7" ht="18" x14ac:dyDescent="0.2">
      <c r="A543" s="5">
        <v>45352</v>
      </c>
      <c r="B543" s="6">
        <v>13.96</v>
      </c>
      <c r="C543" s="6">
        <v>15.49</v>
      </c>
      <c r="D543" s="6">
        <v>13.81</v>
      </c>
      <c r="E543" s="6">
        <v>15.4</v>
      </c>
      <c r="F543" s="6">
        <v>14.5</v>
      </c>
      <c r="G543" s="7">
        <v>135681200</v>
      </c>
    </row>
    <row r="544" spans="1:7" ht="18" x14ac:dyDescent="0.2">
      <c r="A544" s="5">
        <v>45323</v>
      </c>
      <c r="B544" s="6">
        <v>14.3</v>
      </c>
      <c r="C544" s="6">
        <v>14.4</v>
      </c>
      <c r="D544" s="6">
        <v>13.45</v>
      </c>
      <c r="E544" s="6">
        <v>14.1</v>
      </c>
      <c r="F544" s="6">
        <v>13.28</v>
      </c>
      <c r="G544" s="7">
        <v>136083400</v>
      </c>
    </row>
    <row r="545" spans="1:7" ht="18" x14ac:dyDescent="0.2">
      <c r="A545" s="5">
        <v>45292</v>
      </c>
      <c r="B545" s="6">
        <v>14.07</v>
      </c>
      <c r="C545" s="6">
        <v>15.37</v>
      </c>
      <c r="D545" s="6">
        <v>12.95</v>
      </c>
      <c r="E545" s="6">
        <v>14.24</v>
      </c>
      <c r="F545" s="6">
        <v>13.41</v>
      </c>
      <c r="G545" s="7">
        <v>189586500</v>
      </c>
    </row>
    <row r="546" spans="1:7" ht="18" x14ac:dyDescent="0.2">
      <c r="A546" s="5">
        <v>45261</v>
      </c>
      <c r="B546" s="6">
        <v>12.83</v>
      </c>
      <c r="C546" s="6">
        <v>14.5</v>
      </c>
      <c r="D546" s="6">
        <v>12.71</v>
      </c>
      <c r="E546" s="6">
        <v>14.16</v>
      </c>
      <c r="F546" s="6">
        <v>13.19</v>
      </c>
      <c r="G546" s="7">
        <v>175181900</v>
      </c>
    </row>
    <row r="547" spans="1:7" ht="18" x14ac:dyDescent="0.2">
      <c r="A547" s="5">
        <v>45231</v>
      </c>
      <c r="B547" s="6">
        <v>10.73</v>
      </c>
      <c r="C547" s="6">
        <v>12.94</v>
      </c>
      <c r="D547" s="6">
        <v>10.55</v>
      </c>
      <c r="E547" s="6">
        <v>12.79</v>
      </c>
      <c r="F547" s="6">
        <v>11.92</v>
      </c>
      <c r="G547" s="7">
        <v>196151700</v>
      </c>
    </row>
    <row r="548" spans="1:7" ht="18" x14ac:dyDescent="0.2">
      <c r="A548" s="5">
        <v>45200</v>
      </c>
      <c r="B548" s="6">
        <v>10.93</v>
      </c>
      <c r="C548" s="6">
        <v>11.49</v>
      </c>
      <c r="D548" s="6">
        <v>10.08</v>
      </c>
      <c r="E548" s="6">
        <v>10.75</v>
      </c>
      <c r="F548" s="6">
        <v>10.02</v>
      </c>
      <c r="G548" s="7">
        <v>174889200</v>
      </c>
    </row>
    <row r="549" spans="1:7" ht="18" x14ac:dyDescent="0.2">
      <c r="A549" s="5">
        <v>45170</v>
      </c>
      <c r="B549" s="6">
        <v>12.69</v>
      </c>
      <c r="C549" s="6">
        <v>12.86</v>
      </c>
      <c r="D549" s="6">
        <v>10.85</v>
      </c>
      <c r="E549" s="6">
        <v>11.02</v>
      </c>
      <c r="F549" s="6">
        <v>10.130000000000001</v>
      </c>
      <c r="G549" s="7">
        <v>130410700</v>
      </c>
    </row>
    <row r="550" spans="1:7" ht="18" x14ac:dyDescent="0.2">
      <c r="A550" s="5">
        <v>45139</v>
      </c>
      <c r="B550" s="6">
        <v>13.57</v>
      </c>
      <c r="C550" s="6">
        <v>13.82</v>
      </c>
      <c r="D550" s="6">
        <v>12.12</v>
      </c>
      <c r="E550" s="6">
        <v>12.55</v>
      </c>
      <c r="F550" s="6">
        <v>11.54</v>
      </c>
      <c r="G550" s="7">
        <v>120906600</v>
      </c>
    </row>
    <row r="551" spans="1:7" ht="18" x14ac:dyDescent="0.2">
      <c r="A551" s="5">
        <v>45108</v>
      </c>
      <c r="B551" s="6">
        <v>11.41</v>
      </c>
      <c r="C551" s="6">
        <v>13.96</v>
      </c>
      <c r="D551" s="6">
        <v>11.31</v>
      </c>
      <c r="E551" s="6">
        <v>13.63</v>
      </c>
      <c r="F551" s="6">
        <v>12.53</v>
      </c>
      <c r="G551" s="7">
        <v>181060600</v>
      </c>
    </row>
    <row r="552" spans="1:7" ht="18" x14ac:dyDescent="0.2">
      <c r="A552" s="5">
        <v>45078</v>
      </c>
      <c r="B552" s="6">
        <v>10.41</v>
      </c>
      <c r="C552" s="6">
        <v>12.26</v>
      </c>
      <c r="D552" s="6">
        <v>10.25</v>
      </c>
      <c r="E552" s="6">
        <v>11.27</v>
      </c>
      <c r="F552" s="6">
        <v>10.23</v>
      </c>
      <c r="G552" s="7">
        <v>236783600</v>
      </c>
    </row>
    <row r="553" spans="1:7" ht="18" x14ac:dyDescent="0.2">
      <c r="A553" s="5">
        <v>45047</v>
      </c>
      <c r="B553" s="6">
        <v>17.64</v>
      </c>
      <c r="C553" s="6">
        <v>17.82</v>
      </c>
      <c r="D553" s="6">
        <v>8.99</v>
      </c>
      <c r="E553" s="6">
        <v>10.31</v>
      </c>
      <c r="F553" s="6">
        <v>9.36</v>
      </c>
      <c r="G553" s="7">
        <v>461851200</v>
      </c>
    </row>
    <row r="554" spans="1:7" ht="18" x14ac:dyDescent="0.2">
      <c r="A554" s="5">
        <v>45017</v>
      </c>
      <c r="B554" s="6">
        <v>17.850000000000001</v>
      </c>
      <c r="C554" s="6">
        <v>18.989999999999998</v>
      </c>
      <c r="D554" s="6">
        <v>16.96</v>
      </c>
      <c r="E554" s="6">
        <v>17.55</v>
      </c>
      <c r="F554" s="6">
        <v>15.93</v>
      </c>
      <c r="G554" s="7">
        <v>89738500</v>
      </c>
    </row>
    <row r="555" spans="1:7" ht="18" x14ac:dyDescent="0.2">
      <c r="A555" s="5">
        <v>44986</v>
      </c>
      <c r="B555" s="6">
        <v>20.78</v>
      </c>
      <c r="C555" s="6">
        <v>22.88</v>
      </c>
      <c r="D555" s="6">
        <v>13.4</v>
      </c>
      <c r="E555" s="6">
        <v>17.78</v>
      </c>
      <c r="F555" s="6">
        <v>15.98</v>
      </c>
      <c r="G555" s="7">
        <v>343128300</v>
      </c>
    </row>
    <row r="556" spans="1:7" ht="18" x14ac:dyDescent="0.2">
      <c r="A556" s="5">
        <v>44958</v>
      </c>
      <c r="B556" s="6">
        <v>24.72</v>
      </c>
      <c r="C556" s="6">
        <v>24.9</v>
      </c>
      <c r="D556" s="6">
        <v>24.63</v>
      </c>
      <c r="E556" s="6">
        <v>24.77</v>
      </c>
      <c r="F556" s="6">
        <v>22.26</v>
      </c>
      <c r="G556" s="7">
        <v>60004300</v>
      </c>
    </row>
    <row r="557" spans="1:7" ht="18" x14ac:dyDescent="0.2">
      <c r="A557" s="5">
        <v>44927</v>
      </c>
      <c r="B557" s="6">
        <v>24.5</v>
      </c>
      <c r="C557" s="6">
        <v>24.79</v>
      </c>
      <c r="D557" s="6">
        <v>24.37</v>
      </c>
      <c r="E557" s="6">
        <v>24.73</v>
      </c>
      <c r="F557" s="6">
        <v>22.23</v>
      </c>
      <c r="G557" s="7">
        <v>84904400</v>
      </c>
    </row>
    <row r="558" spans="1:7" ht="18" x14ac:dyDescent="0.2">
      <c r="A558" s="5">
        <v>44896</v>
      </c>
      <c r="B558" s="6">
        <v>24.73</v>
      </c>
      <c r="C558" s="6">
        <v>24.76</v>
      </c>
      <c r="D558" s="6">
        <v>24.27</v>
      </c>
      <c r="E558" s="6">
        <v>24.5</v>
      </c>
      <c r="F558" s="6">
        <v>21.88</v>
      </c>
      <c r="G558" s="7">
        <v>100561700</v>
      </c>
    </row>
    <row r="559" spans="1:7" ht="18" x14ac:dyDescent="0.2">
      <c r="A559" s="5">
        <v>44866</v>
      </c>
      <c r="B559" s="6">
        <v>24.49</v>
      </c>
      <c r="C559" s="6">
        <v>24.92</v>
      </c>
      <c r="D559" s="6">
        <v>24.25</v>
      </c>
      <c r="E559" s="6">
        <v>24.85</v>
      </c>
      <c r="F559" s="6">
        <v>22.2</v>
      </c>
      <c r="G559" s="7">
        <v>147536200</v>
      </c>
    </row>
    <row r="560" spans="1:7" ht="18" x14ac:dyDescent="0.2">
      <c r="A560" s="5">
        <v>44835</v>
      </c>
      <c r="B560" s="6">
        <v>23.1</v>
      </c>
      <c r="C560" s="6">
        <v>24.53</v>
      </c>
      <c r="D560" s="6">
        <v>22.91</v>
      </c>
      <c r="E560" s="6">
        <v>24.51</v>
      </c>
      <c r="F560" s="6">
        <v>21.89</v>
      </c>
      <c r="G560" s="7">
        <v>105821400</v>
      </c>
    </row>
    <row r="561" spans="1:7" ht="18" x14ac:dyDescent="0.2">
      <c r="A561" s="5">
        <v>44805</v>
      </c>
      <c r="B561" s="6">
        <v>22.75</v>
      </c>
      <c r="C561" s="6">
        <v>23.65</v>
      </c>
      <c r="D561" s="6">
        <v>22.39</v>
      </c>
      <c r="E561" s="6">
        <v>22.9</v>
      </c>
      <c r="F561" s="6">
        <v>20.32</v>
      </c>
      <c r="G561" s="7">
        <v>81349700</v>
      </c>
    </row>
    <row r="562" spans="1:7" ht="18" x14ac:dyDescent="0.2">
      <c r="A562" s="5">
        <v>44774</v>
      </c>
      <c r="B562" s="6">
        <v>22.31</v>
      </c>
      <c r="C562" s="6">
        <v>23.36</v>
      </c>
      <c r="D562" s="6">
        <v>22.03</v>
      </c>
      <c r="E562" s="6">
        <v>22.62</v>
      </c>
      <c r="F562" s="6">
        <v>20.07</v>
      </c>
      <c r="G562" s="7">
        <v>53365200</v>
      </c>
    </row>
    <row r="563" spans="1:7" ht="18" x14ac:dyDescent="0.2">
      <c r="A563" s="5">
        <v>44743</v>
      </c>
      <c r="B563" s="6">
        <v>21.83</v>
      </c>
      <c r="C563" s="6">
        <v>22.65</v>
      </c>
      <c r="D563" s="6">
        <v>21.27</v>
      </c>
      <c r="E563" s="6">
        <v>22.36</v>
      </c>
      <c r="F563" s="6">
        <v>19.84</v>
      </c>
      <c r="G563" s="7">
        <v>55579600</v>
      </c>
    </row>
    <row r="564" spans="1:7" ht="18" x14ac:dyDescent="0.2">
      <c r="A564" s="5">
        <v>44713</v>
      </c>
      <c r="B564" s="6">
        <v>22.85</v>
      </c>
      <c r="C564" s="6">
        <v>23.03</v>
      </c>
      <c r="D564" s="6">
        <v>20.48</v>
      </c>
      <c r="E564" s="6">
        <v>21.86</v>
      </c>
      <c r="F564" s="6">
        <v>19.27</v>
      </c>
      <c r="G564" s="7">
        <v>94092900</v>
      </c>
    </row>
    <row r="565" spans="1:7" ht="18" x14ac:dyDescent="0.2">
      <c r="A565" s="5">
        <v>44682</v>
      </c>
      <c r="B565" s="6">
        <v>22.5</v>
      </c>
      <c r="C565" s="6">
        <v>23.11</v>
      </c>
      <c r="D565" s="6">
        <v>21.33</v>
      </c>
      <c r="E565" s="6">
        <v>22.83</v>
      </c>
      <c r="F565" s="6">
        <v>20.13</v>
      </c>
      <c r="G565" s="7">
        <v>108576600</v>
      </c>
    </row>
    <row r="566" spans="1:7" ht="18" x14ac:dyDescent="0.2">
      <c r="A566" s="5">
        <v>44652</v>
      </c>
      <c r="B566" s="6">
        <v>23.58</v>
      </c>
      <c r="C566" s="6">
        <v>23.66</v>
      </c>
      <c r="D566" s="6">
        <v>22.38</v>
      </c>
      <c r="E566" s="6">
        <v>22.38</v>
      </c>
      <c r="F566" s="6">
        <v>19.73</v>
      </c>
      <c r="G566" s="7">
        <v>124532600</v>
      </c>
    </row>
    <row r="567" spans="1:7" ht="18" x14ac:dyDescent="0.2">
      <c r="A567" s="5">
        <v>44621</v>
      </c>
      <c r="B567" s="6">
        <v>23.37</v>
      </c>
      <c r="C567" s="6">
        <v>23.97</v>
      </c>
      <c r="D567" s="6">
        <v>22.85</v>
      </c>
      <c r="E567" s="6">
        <v>23.49</v>
      </c>
      <c r="F567" s="6">
        <v>20.58</v>
      </c>
      <c r="G567" s="7">
        <v>304286200</v>
      </c>
    </row>
    <row r="568" spans="1:7" ht="18" x14ac:dyDescent="0.2">
      <c r="A568" s="5">
        <v>44593</v>
      </c>
      <c r="B568" s="6">
        <v>17.09</v>
      </c>
      <c r="C568" s="6">
        <v>24.24</v>
      </c>
      <c r="D568" s="6">
        <v>16.78</v>
      </c>
      <c r="E568" s="6">
        <v>23.48</v>
      </c>
      <c r="F568" s="6">
        <v>20.57</v>
      </c>
      <c r="G568" s="7">
        <v>197290800</v>
      </c>
    </row>
    <row r="569" spans="1:7" ht="18" x14ac:dyDescent="0.2">
      <c r="A569" s="5">
        <v>44562</v>
      </c>
      <c r="B569" s="6">
        <v>16.59</v>
      </c>
      <c r="C569" s="6">
        <v>18.72</v>
      </c>
      <c r="D569" s="6">
        <v>16.510000000000002</v>
      </c>
      <c r="E569" s="6">
        <v>17.11</v>
      </c>
      <c r="F569" s="6">
        <v>14.99</v>
      </c>
      <c r="G569" s="7">
        <v>120389300</v>
      </c>
    </row>
    <row r="570" spans="1:7" ht="18" x14ac:dyDescent="0.2">
      <c r="A570" s="5">
        <v>44531</v>
      </c>
      <c r="B570" s="6">
        <v>16.5</v>
      </c>
      <c r="C570" s="6">
        <v>16.91</v>
      </c>
      <c r="D570" s="6">
        <v>15</v>
      </c>
      <c r="E570" s="6">
        <v>16.329999999999998</v>
      </c>
      <c r="F570" s="6">
        <v>14.18</v>
      </c>
      <c r="G570" s="7">
        <v>95412000</v>
      </c>
    </row>
    <row r="571" spans="1:7" ht="18" x14ac:dyDescent="0.2">
      <c r="A571" s="5">
        <v>44501</v>
      </c>
      <c r="B571" s="6">
        <v>17.14</v>
      </c>
      <c r="C571" s="6">
        <v>17.63</v>
      </c>
      <c r="D571" s="6">
        <v>16.03</v>
      </c>
      <c r="E571" s="6">
        <v>16.13</v>
      </c>
      <c r="F571" s="6">
        <v>14</v>
      </c>
      <c r="G571" s="7">
        <v>68307700</v>
      </c>
    </row>
    <row r="572" spans="1:7" ht="18" x14ac:dyDescent="0.2">
      <c r="A572" s="5">
        <v>44470</v>
      </c>
      <c r="B572" s="6">
        <v>16.37</v>
      </c>
      <c r="C572" s="6">
        <v>17.350000000000001</v>
      </c>
      <c r="D572" s="6">
        <v>16</v>
      </c>
      <c r="E572" s="6">
        <v>16.97</v>
      </c>
      <c r="F572" s="6">
        <v>14.73</v>
      </c>
      <c r="G572" s="7">
        <v>84483700</v>
      </c>
    </row>
    <row r="573" spans="1:7" ht="18" x14ac:dyDescent="0.2">
      <c r="A573" s="5">
        <v>44440</v>
      </c>
      <c r="B573" s="6">
        <v>16.45</v>
      </c>
      <c r="C573" s="6">
        <v>16.809999999999999</v>
      </c>
      <c r="D573" s="6">
        <v>14.67</v>
      </c>
      <c r="E573" s="6">
        <v>16.29</v>
      </c>
      <c r="F573" s="6">
        <v>14</v>
      </c>
      <c r="G573" s="7">
        <v>88637600</v>
      </c>
    </row>
    <row r="574" spans="1:7" ht="18" x14ac:dyDescent="0.2">
      <c r="A574" s="5">
        <v>44409</v>
      </c>
      <c r="B574" s="6">
        <v>15.51</v>
      </c>
      <c r="C574" s="6">
        <v>16.75</v>
      </c>
      <c r="D574" s="6">
        <v>15.08</v>
      </c>
      <c r="E574" s="6">
        <v>16.39</v>
      </c>
      <c r="F574" s="6">
        <v>14.09</v>
      </c>
      <c r="G574" s="7">
        <v>84108900</v>
      </c>
    </row>
    <row r="575" spans="1:7" ht="18" x14ac:dyDescent="0.2">
      <c r="A575" s="5">
        <v>44378</v>
      </c>
      <c r="B575" s="6">
        <v>17.38</v>
      </c>
      <c r="C575" s="6">
        <v>17.48</v>
      </c>
      <c r="D575" s="6">
        <v>14.85</v>
      </c>
      <c r="E575" s="6">
        <v>15.45</v>
      </c>
      <c r="F575" s="6">
        <v>13.28</v>
      </c>
      <c r="G575" s="7">
        <v>135579200</v>
      </c>
    </row>
    <row r="576" spans="1:7" ht="18" x14ac:dyDescent="0.2">
      <c r="A576" s="5">
        <v>44348</v>
      </c>
      <c r="B576" s="6">
        <v>19.13</v>
      </c>
      <c r="C576" s="6">
        <v>19.45</v>
      </c>
      <c r="D576" s="6">
        <v>16.489999999999998</v>
      </c>
      <c r="E576" s="6">
        <v>17.28</v>
      </c>
      <c r="F576" s="6">
        <v>14.74</v>
      </c>
      <c r="G576" s="7">
        <v>102645700</v>
      </c>
    </row>
    <row r="577" spans="1:7" ht="18" x14ac:dyDescent="0.2">
      <c r="A577" s="5">
        <v>44317</v>
      </c>
      <c r="B577" s="6">
        <v>18.559999999999999</v>
      </c>
      <c r="C577" s="6">
        <v>19.440000000000001</v>
      </c>
      <c r="D577" s="6">
        <v>18.079999999999998</v>
      </c>
      <c r="E577" s="6">
        <v>19.07</v>
      </c>
      <c r="F577" s="6">
        <v>16.260000000000002</v>
      </c>
      <c r="G577" s="7">
        <v>86758500</v>
      </c>
    </row>
    <row r="578" spans="1:7" ht="18" x14ac:dyDescent="0.2">
      <c r="A578" s="5">
        <v>44287</v>
      </c>
      <c r="B578" s="6">
        <v>17</v>
      </c>
      <c r="C578" s="6">
        <v>18.73</v>
      </c>
      <c r="D578" s="6">
        <v>16.46</v>
      </c>
      <c r="E578" s="6">
        <v>18.29</v>
      </c>
      <c r="F578" s="6">
        <v>15.6</v>
      </c>
      <c r="G578" s="7">
        <v>103414100</v>
      </c>
    </row>
    <row r="579" spans="1:7" ht="18" x14ac:dyDescent="0.2">
      <c r="A579" s="5">
        <v>44256</v>
      </c>
      <c r="B579" s="6">
        <v>16.579999999999998</v>
      </c>
      <c r="C579" s="6">
        <v>18.420000000000002</v>
      </c>
      <c r="D579" s="6">
        <v>15.93</v>
      </c>
      <c r="E579" s="6">
        <v>16.91</v>
      </c>
      <c r="F579" s="6">
        <v>14.29</v>
      </c>
      <c r="G579" s="7">
        <v>182232500</v>
      </c>
    </row>
    <row r="580" spans="1:7" ht="18" x14ac:dyDescent="0.2">
      <c r="A580" s="5">
        <v>44228</v>
      </c>
      <c r="B580" s="6">
        <v>13.98</v>
      </c>
      <c r="C580" s="6">
        <v>17.260000000000002</v>
      </c>
      <c r="D580" s="6">
        <v>13.74</v>
      </c>
      <c r="E580" s="6">
        <v>16.2</v>
      </c>
      <c r="F580" s="6">
        <v>13.69</v>
      </c>
      <c r="G580" s="7">
        <v>154169300</v>
      </c>
    </row>
    <row r="581" spans="1:7" ht="18" x14ac:dyDescent="0.2">
      <c r="A581" s="5">
        <v>44197</v>
      </c>
      <c r="B581" s="6">
        <v>12.86</v>
      </c>
      <c r="C581" s="6">
        <v>15.48</v>
      </c>
      <c r="D581" s="6">
        <v>12.55</v>
      </c>
      <c r="E581" s="6">
        <v>13.89</v>
      </c>
      <c r="F581" s="6">
        <v>11.74</v>
      </c>
      <c r="G581" s="7">
        <v>109112500</v>
      </c>
    </row>
    <row r="582" spans="1:7" ht="18" x14ac:dyDescent="0.2">
      <c r="A582" s="5">
        <v>44166</v>
      </c>
      <c r="B582" s="6">
        <v>12.53</v>
      </c>
      <c r="C582" s="6">
        <v>13.39</v>
      </c>
      <c r="D582" s="6">
        <v>12.17</v>
      </c>
      <c r="E582" s="6">
        <v>12.76</v>
      </c>
      <c r="F582" s="6">
        <v>10.66</v>
      </c>
      <c r="G582" s="7">
        <v>107964600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Stock Market Data</vt:lpstr>
      <vt:lpstr>Sheet2</vt:lpstr>
      <vt:lpstr>Sheet4</vt:lpstr>
      <vt:lpstr>Success - 2015-2019</vt:lpstr>
      <vt:lpstr>Regular - 2015-2019</vt:lpstr>
      <vt:lpstr>Small - 2015-2019</vt:lpstr>
      <vt:lpstr>Stock Market Data_cleaned</vt:lpstr>
      <vt:lpstr>Prepared</vt:lpstr>
      <vt:lpstr>Summary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Shue</dc:creator>
  <cp:lastModifiedBy>Ian Shue</cp:lastModifiedBy>
  <dcterms:created xsi:type="dcterms:W3CDTF">2025-11-06T17:27:00Z</dcterms:created>
  <dcterms:modified xsi:type="dcterms:W3CDTF">2026-04-15T00:41:28Z</dcterms:modified>
</cp:coreProperties>
</file>